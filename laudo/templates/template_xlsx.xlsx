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automacao_extracao_pericia\laudo\templates\"/>
    </mc:Choice>
  </mc:AlternateContent>
  <xr:revisionPtr revIDLastSave="0" documentId="13_ncr:1_{B9008543-AD19-4837-BC5D-56BE6BE1EEAD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Plan" sheetId="1" r:id="rId1"/>
    <sheet name="ANEXO 2" sheetId="2" r:id="rId2"/>
  </sheets>
  <definedNames>
    <definedName name="_xlnm._FilterDatabase" localSheetId="1" hidden="1">'ANEXO 2'!$A$12:$W$20</definedName>
    <definedName name="Anexo3" localSheetId="1">#REF!</definedName>
    <definedName name="Anexo3">#REF!</definedName>
    <definedName name="Anexo3aa">#REF!</definedName>
    <definedName name="Anexo4" localSheetId="1">#REF!</definedName>
    <definedName name="Anexo4">#REF!</definedName>
    <definedName name="anexo5" localSheetId="1">#REF!</definedName>
    <definedName name="anexo5">#REF!</definedName>
    <definedName name="Anexo6" localSheetId="1">#REF!</definedName>
    <definedName name="Anexo6">#REF!</definedName>
    <definedName name="_xlnm.Print_Area" localSheetId="1">'ANEXO 2'!$A$1:$W$27</definedName>
    <definedName name="equipe" localSheetId="1">#REF!</definedName>
    <definedName name="equipe">#REF!</definedName>
    <definedName name="Formatação" localSheetId="1">#REF!</definedName>
    <definedName name="Formatação">#REF!</definedName>
    <definedName name="IGPDI">#REF!</definedName>
    <definedName name="IGPDI0">#REF!</definedName>
    <definedName name="IGPM">#REF!</definedName>
    <definedName name="IGPM0">#REF!</definedName>
    <definedName name="ind">#REF!</definedName>
    <definedName name="INPC">#REF!</definedName>
    <definedName name="INPC0">#REF!</definedName>
    <definedName name="Média">#REF!</definedName>
    <definedName name="Média0">#REF!</definedName>
    <definedName name="Média001">#REF!</definedName>
    <definedName name="mf">#REF!</definedName>
    <definedName name="Seleção">#REF!</definedName>
    <definedName name="tabic" localSheetId="1">#REF!</definedName>
    <definedName name="tabic">#REF!</definedName>
    <definedName name="tabicss">#REF!</definedName>
    <definedName name="TABMM" localSheetId="1">#REF!</definedName>
    <definedName name="TABMM">#REF!</definedName>
    <definedName name="TABMM2">#REF!</definedName>
    <definedName name="TABMM24">#REF!</definedName>
    <definedName name="TABMM3">#REF!</definedName>
    <definedName name="TABMM4">#REF!</definedName>
    <definedName name="_xlnm.Print_Titles" localSheetId="1">'ANEXO 2'!$1:$12</definedName>
    <definedName name="TMM" localSheetId="1">#REF!</definedName>
    <definedName name="TMM">#REF!</definedName>
    <definedName name="ultim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18" i="2" l="1"/>
  <c r="W13" i="2"/>
  <c r="R20" i="2"/>
  <c r="E20" i="2"/>
  <c r="E29" i="2" s="1"/>
  <c r="E32" i="2" s="1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I11" i="1"/>
  <c r="I10" i="1"/>
  <c r="I13" i="1" s="1"/>
  <c r="O37" i="2"/>
  <c r="R30" i="2"/>
  <c r="R29" i="2"/>
  <c r="X19" i="2"/>
  <c r="X18" i="2"/>
  <c r="X17" i="2"/>
  <c r="X16" i="2"/>
  <c r="X15" i="2"/>
  <c r="X14" i="2"/>
  <c r="X13" i="2"/>
  <c r="D6" i="2"/>
  <c r="B6" i="2"/>
  <c r="D5" i="2"/>
  <c r="B4" i="2"/>
  <c r="AB3" i="2"/>
  <c r="O26" i="2" s="1"/>
  <c r="AA3" i="2"/>
  <c r="O25" i="2" s="1"/>
  <c r="B3" i="2"/>
  <c r="AA2" i="2"/>
  <c r="K3" i="2" s="1"/>
  <c r="Y1" i="2"/>
  <c r="W19" i="2" l="1"/>
  <c r="W14" i="2"/>
  <c r="W15" i="2" s="1"/>
  <c r="W16" i="2" s="1"/>
  <c r="W17" i="2" s="1"/>
  <c r="X58" i="2"/>
  <c r="R32" i="2"/>
  <c r="R31" i="2" s="1"/>
  <c r="P22" i="2"/>
  <c r="P24" i="2"/>
  <c r="E31" i="2"/>
  <c r="P25" i="2"/>
  <c r="A1" i="2"/>
  <c r="Z71" i="2" s="1"/>
  <c r="P26" i="2" l="1"/>
  <c r="R34" i="2"/>
</calcChain>
</file>

<file path=xl/sharedStrings.xml><?xml version="1.0" encoding="utf-8"?>
<sst xmlns="http://schemas.openxmlformats.org/spreadsheetml/2006/main" count="86" uniqueCount="72">
  <si>
    <t xml:space="preserve"> Data</t>
  </si>
  <si>
    <t>Histórico</t>
  </si>
  <si>
    <t>Débito</t>
  </si>
  <si>
    <t>Subtotal</t>
  </si>
  <si>
    <t>ESTUDO DA OPERACAO</t>
  </si>
  <si>
    <t>SEGURO PENHOR RURAL</t>
  </si>
  <si>
    <t>Total</t>
  </si>
  <si>
    <t>Operação:</t>
  </si>
  <si>
    <t>409.906.274</t>
  </si>
  <si>
    <t>Semestral</t>
  </si>
  <si>
    <t>no vencimento da parcela</t>
  </si>
  <si>
    <t>Afastada</t>
  </si>
  <si>
    <t>Mensal</t>
  </si>
  <si>
    <t>Informações contratuais</t>
  </si>
  <si>
    <t xml:space="preserve">Informações do Recálculo </t>
  </si>
  <si>
    <t>Cap. a aplicar:</t>
  </si>
  <si>
    <t>Aplicação da capitalização semestral dos juros remuneratórios de normalidade</t>
  </si>
  <si>
    <t>Aplicação da capitalização dos juros remuneratórios de normalidade no vencimento das parcelas</t>
  </si>
  <si>
    <t>Afastamento da capitalização de juros remuneratórios de normalidade</t>
  </si>
  <si>
    <t>Aplicação da capitalização mensal dos juros remuneratórios de normalidade</t>
  </si>
  <si>
    <t>Valor Liberado:</t>
  </si>
  <si>
    <t>Dias Corridos</t>
  </si>
  <si>
    <t>Execução</t>
  </si>
  <si>
    <t>Valor IOF:</t>
  </si>
  <si>
    <t>Taxa de juros:</t>
  </si>
  <si>
    <t xml:space="preserve"> a.a.</t>
  </si>
  <si>
    <t>Estorno da cobrança de Tarifa de Estudo de Operações e Seguro Penhor</t>
  </si>
  <si>
    <t>Capitaliz. Jur.:</t>
  </si>
  <si>
    <t>Não pactuada</t>
  </si>
  <si>
    <t>a.m.</t>
  </si>
  <si>
    <t>Descaracterização da mora</t>
  </si>
  <si>
    <t>Seguro penhor:</t>
  </si>
  <si>
    <t>Tarifa:</t>
  </si>
  <si>
    <t>Seguro de vida:</t>
  </si>
  <si>
    <t>Seguro agrícola:</t>
  </si>
  <si>
    <t>COLUNAS CONFORME EXTRATOS</t>
  </si>
  <si>
    <t>COLUNAS ELABORADAS PELO ASSISTENTE TÉCNICO</t>
  </si>
  <si>
    <t>Crédito</t>
  </si>
  <si>
    <t>Saldo</t>
  </si>
  <si>
    <t>Dias</t>
  </si>
  <si>
    <t>Dias Acum</t>
  </si>
  <si>
    <t>SN*D</t>
  </si>
  <si>
    <t>SNA</t>
  </si>
  <si>
    <t>SNM</t>
  </si>
  <si>
    <t>Juros</t>
  </si>
  <si>
    <t>Tx Mensal
Banco</t>
  </si>
  <si>
    <t>Tx Mensal
Média Merc</t>
  </si>
  <si>
    <t>Juros 
Recalculados</t>
  </si>
  <si>
    <t>Juros Recalc
Acumulados</t>
  </si>
  <si>
    <t>JUROS RECALCULADOS SEM CAPITALIZAÇÃO</t>
  </si>
  <si>
    <t>JUROS RECALCULADOS E CAPITALIZADOS</t>
  </si>
  <si>
    <t>JUROS RECALC. S/ CAP. E CAP. AO FIM DO PERÍODO DE NORMALIDADE</t>
  </si>
  <si>
    <t>JUROS RECALC. S/ CAP. E CAP. SEMESTRALMENTE</t>
  </si>
  <si>
    <t>JUROS RECALC. S/ CAP. E CAP. NO VENCIMENTO DA PARCELA</t>
  </si>
  <si>
    <t>MORA RECALCULADA E CAPITALIZADA</t>
  </si>
  <si>
    <t>DESCARACTERIZAÇÃO DA MORA</t>
  </si>
  <si>
    <t>Saldo final conforme extratos</t>
  </si>
  <si>
    <t>Saldo final recalculado</t>
  </si>
  <si>
    <t>Diferença entre saldos</t>
  </si>
  <si>
    <t>Valor apurado (incontroverso):</t>
  </si>
  <si>
    <t>Proveito econômico pretendido.</t>
  </si>
  <si>
    <t>Valor conf. instituição financeira:</t>
  </si>
  <si>
    <t xml:space="preserve">Valor apurado: </t>
  </si>
  <si>
    <t xml:space="preserve">Fator de correção: </t>
  </si>
  <si>
    <t>RELAÇÃO DE ANEXOS</t>
  </si>
  <si>
    <t xml:space="preserve">Correção monetária: </t>
  </si>
  <si>
    <t>Valor atualizado (controverso):</t>
  </si>
  <si>
    <t>Valor atualizado (incontroverso):</t>
  </si>
  <si>
    <t>ANEXO 1</t>
  </si>
  <si>
    <t>Certidão CORECON/PR</t>
  </si>
  <si>
    <t>ANEXO 2</t>
  </si>
  <si>
    <t xml:space="preserve">Excesso apurado: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</si>
</sst>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R$ &quot;* #,##0.00_-;&quot;-R$ &quot;* #,##0.00_-;_-&quot;R$ &quot;* \-??_-;_-@_-"/>
    <numFmt numFmtId="165" formatCode="_-* #,##0.00_-;\-* #,##0.00_-;_-* \-??_-;_-@_-"/>
    <numFmt numFmtId="166" formatCode="[$-416]d/m/yyyy"/>
    <numFmt numFmtId="167" formatCode="0.000%"/>
    <numFmt numFmtId="168" formatCode="&quot;R$ &quot;#,##0.00;[Red]&quot;-R$ &quot;#,##0.00"/>
    <numFmt numFmtId="169" formatCode="#,##0.00000000"/>
    <numFmt numFmtId="170" formatCode="&quot;R$ &quot;#,##0.00"/>
  </numFmts>
  <fonts count="16">
    <font>
      <sz val="11"/>
      <color rgb="FF000000"/>
      <name val="Calibri"/>
      <family val="2"/>
      <charset val="1"/>
    </font>
    <font>
      <sz val="9"/>
      <color rgb="FF000000"/>
      <name val="Arial Narrow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b/>
      <sz val="11.5"/>
      <name val="Gadugi"/>
      <family val="2"/>
      <charset val="1"/>
    </font>
    <font>
      <b/>
      <sz val="11.5"/>
      <color rgb="FF000000"/>
      <name val="Gadugi"/>
      <family val="2"/>
      <charset val="1"/>
    </font>
    <font>
      <sz val="11.5"/>
      <name val="Gadugi"/>
      <family val="2"/>
      <charset val="1"/>
    </font>
    <font>
      <sz val="9"/>
      <name val="Arial Narrow"/>
      <family val="2"/>
      <charset val="1"/>
    </font>
    <font>
      <sz val="12"/>
      <name val="Kabel Bk BT"/>
      <family val="2"/>
      <charset val="1"/>
    </font>
    <font>
      <b/>
      <sz val="9"/>
      <name val="Arial Narrow"/>
      <family val="2"/>
      <charset val="1"/>
    </font>
    <font>
      <u/>
      <sz val="9"/>
      <name val="Arial Narrow"/>
      <family val="2"/>
      <charset val="1"/>
    </font>
    <font>
      <i/>
      <sz val="9"/>
      <name val="Arial Narrow"/>
      <family val="2"/>
      <charset val="1"/>
    </font>
    <font>
      <b/>
      <u/>
      <sz val="9"/>
      <name val="Arial Narrow"/>
      <family val="2"/>
      <charset val="1"/>
    </font>
    <font>
      <sz val="11"/>
      <color rgb="FF000000"/>
      <name val="Calibri"/>
      <family val="2"/>
      <charset val="1"/>
    </font>
    <font>
      <sz val="9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41">
    <xf numFmtId="0" fontId="0" fillId="0" borderId="0"/>
    <xf numFmtId="9" fontId="14" fillId="0" borderId="0" applyBorder="0" applyProtection="0"/>
    <xf numFmtId="164" fontId="14" fillId="0" borderId="0" applyBorder="0" applyProtection="0"/>
    <xf numFmtId="164" fontId="14" fillId="0" borderId="0" applyBorder="0" applyProtection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1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14" fillId="0" borderId="0"/>
    <xf numFmtId="0" fontId="3" fillId="0" borderId="0"/>
    <xf numFmtId="0" fontId="14" fillId="0" borderId="0"/>
    <xf numFmtId="9" fontId="14" fillId="0" borderId="0" applyBorder="0" applyProtection="0"/>
    <xf numFmtId="9" fontId="14" fillId="0" borderId="0" applyBorder="0" applyProtection="0"/>
    <xf numFmtId="9" fontId="14" fillId="0" borderId="0" applyBorder="0" applyProtection="0"/>
    <xf numFmtId="9" fontId="14" fillId="0" borderId="0" applyBorder="0" applyProtection="0"/>
    <xf numFmtId="9" fontId="14" fillId="0" borderId="0" applyBorder="0" applyProtection="0"/>
    <xf numFmtId="9" fontId="14" fillId="0" borderId="0" applyBorder="0" applyProtection="0"/>
    <xf numFmtId="9" fontId="14" fillId="0" borderId="0" applyBorder="0" applyProtection="0"/>
    <xf numFmtId="9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</cellStyleXfs>
  <cellXfs count="132">
    <xf numFmtId="0" fontId="0" fillId="0" borderId="0" xfId="0"/>
    <xf numFmtId="0" fontId="12" fillId="2" borderId="6" xfId="6" applyFont="1" applyFill="1" applyBorder="1" applyAlignment="1">
      <alignment horizontal="center" vertical="center"/>
    </xf>
    <xf numFmtId="166" fontId="5" fillId="2" borderId="1" xfId="6" applyNumberFormat="1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 wrapText="1"/>
    </xf>
    <xf numFmtId="4" fontId="5" fillId="2" borderId="1" xfId="6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166" fontId="7" fillId="0" borderId="2" xfId="6" applyNumberFormat="1" applyFont="1" applyBorder="1" applyAlignment="1">
      <alignment horizontal="center"/>
    </xf>
    <xf numFmtId="0" fontId="7" fillId="0" borderId="2" xfId="6" applyFont="1" applyBorder="1" applyAlignment="1">
      <alignment horizontal="left" vertical="center"/>
    </xf>
    <xf numFmtId="4" fontId="7" fillId="0" borderId="2" xfId="6" applyNumberFormat="1" applyFont="1" applyBorder="1" applyAlignment="1">
      <alignment horizontal="right"/>
    </xf>
    <xf numFmtId="4" fontId="7" fillId="0" borderId="2" xfId="6" applyNumberFormat="1" applyFont="1" applyBorder="1" applyAlignment="1">
      <alignment horizontal="center"/>
    </xf>
    <xf numFmtId="166" fontId="7" fillId="0" borderId="3" xfId="6" applyNumberFormat="1" applyFont="1" applyBorder="1" applyAlignment="1">
      <alignment horizontal="center"/>
    </xf>
    <xf numFmtId="0" fontId="7" fillId="0" borderId="3" xfId="6" applyFont="1" applyBorder="1" applyAlignment="1">
      <alignment horizontal="left" vertical="center"/>
    </xf>
    <xf numFmtId="4" fontId="7" fillId="0" borderId="3" xfId="6" applyNumberFormat="1" applyFont="1" applyBorder="1" applyAlignment="1">
      <alignment horizontal="right"/>
    </xf>
    <xf numFmtId="0" fontId="6" fillId="0" borderId="4" xfId="0" applyFont="1" applyBorder="1"/>
    <xf numFmtId="4" fontId="6" fillId="0" borderId="4" xfId="0" applyNumberFormat="1" applyFont="1" applyBorder="1"/>
    <xf numFmtId="166" fontId="8" fillId="0" borderId="0" xfId="6" applyNumberFormat="1" applyFont="1" applyAlignment="1">
      <alignment horizontal="center" vertical="center"/>
    </xf>
    <xf numFmtId="0" fontId="8" fillId="0" borderId="0" xfId="6" applyFont="1" applyAlignment="1">
      <alignment horizontal="left"/>
    </xf>
    <xf numFmtId="4" fontId="8" fillId="0" borderId="0" xfId="6" applyNumberFormat="1" applyFont="1" applyAlignment="1">
      <alignment horizontal="right"/>
    </xf>
    <xf numFmtId="0" fontId="8" fillId="0" borderId="0" xfId="6" applyFont="1" applyAlignment="1">
      <alignment horizontal="right"/>
    </xf>
    <xf numFmtId="4" fontId="8" fillId="2" borderId="0" xfId="6" applyNumberFormat="1" applyFont="1" applyFill="1"/>
    <xf numFmtId="0" fontId="8" fillId="0" borderId="0" xfId="6" applyFont="1" applyAlignment="1">
      <alignment horizontal="center" vertical="center"/>
    </xf>
    <xf numFmtId="4" fontId="8" fillId="0" borderId="0" xfId="6" applyNumberFormat="1" applyFont="1" applyAlignment="1">
      <alignment horizontal="right" vertical="center"/>
    </xf>
    <xf numFmtId="0" fontId="8" fillId="0" borderId="0" xfId="6" applyFont="1" applyAlignment="1">
      <alignment horizontal="right" vertical="center"/>
    </xf>
    <xf numFmtId="10" fontId="8" fillId="0" borderId="0" xfId="1" applyNumberFormat="1" applyFont="1" applyBorder="1" applyAlignment="1" applyProtection="1">
      <alignment horizontal="center" vertical="center"/>
    </xf>
    <xf numFmtId="0" fontId="8" fillId="0" borderId="0" xfId="6" applyFont="1" applyAlignment="1">
      <alignment horizontal="left" vertical="center"/>
    </xf>
    <xf numFmtId="3" fontId="8" fillId="0" borderId="0" xfId="6" applyNumberFormat="1" applyFont="1" applyAlignment="1">
      <alignment horizontal="center"/>
    </xf>
    <xf numFmtId="0" fontId="8" fillId="0" borderId="0" xfId="6" applyFont="1"/>
    <xf numFmtId="166" fontId="9" fillId="2" borderId="0" xfId="6" applyNumberFormat="1" applyFont="1" applyFill="1" applyAlignment="1">
      <alignment horizontal="left" vertical="center"/>
    </xf>
    <xf numFmtId="0" fontId="8" fillId="2" borderId="0" xfId="6" applyFont="1" applyFill="1" applyAlignment="1">
      <alignment horizontal="left"/>
    </xf>
    <xf numFmtId="4" fontId="8" fillId="2" borderId="0" xfId="6" applyNumberFormat="1" applyFont="1" applyFill="1" applyAlignment="1">
      <alignment horizontal="right"/>
    </xf>
    <xf numFmtId="0" fontId="8" fillId="2" borderId="0" xfId="6" applyFont="1" applyFill="1" applyAlignment="1">
      <alignment horizontal="right"/>
    </xf>
    <xf numFmtId="0" fontId="8" fillId="2" borderId="0" xfId="6" applyFont="1" applyFill="1" applyAlignment="1">
      <alignment horizontal="center" vertical="center"/>
    </xf>
    <xf numFmtId="0" fontId="8" fillId="2" borderId="0" xfId="6" applyFont="1" applyFill="1" applyAlignment="1">
      <alignment horizontal="center"/>
    </xf>
    <xf numFmtId="10" fontId="8" fillId="2" borderId="0" xfId="1" applyNumberFormat="1" applyFont="1" applyFill="1" applyBorder="1" applyAlignment="1" applyProtection="1">
      <alignment horizontal="center"/>
    </xf>
    <xf numFmtId="0" fontId="8" fillId="2" borderId="0" xfId="6" applyFont="1" applyFill="1" applyAlignment="1">
      <alignment horizontal="left" vertical="center"/>
    </xf>
    <xf numFmtId="0" fontId="10" fillId="0" borderId="3" xfId="6" applyFont="1" applyBorder="1"/>
    <xf numFmtId="0" fontId="11" fillId="0" borderId="0" xfId="6" applyFont="1" applyAlignment="1">
      <alignment horizontal="left" vertical="center"/>
    </xf>
    <xf numFmtId="0" fontId="11" fillId="2" borderId="0" xfId="6" applyFont="1" applyFill="1" applyAlignment="1">
      <alignment horizontal="left" vertical="center"/>
    </xf>
    <xf numFmtId="10" fontId="12" fillId="2" borderId="0" xfId="6" applyNumberFormat="1" applyFont="1" applyFill="1" applyAlignment="1">
      <alignment horizontal="left" vertical="center"/>
    </xf>
    <xf numFmtId="167" fontId="12" fillId="2" borderId="0" xfId="6" applyNumberFormat="1" applyFont="1" applyFill="1" applyAlignment="1">
      <alignment horizontal="right" vertical="center"/>
    </xf>
    <xf numFmtId="4" fontId="12" fillId="2" borderId="0" xfId="6" applyNumberFormat="1" applyFont="1" applyFill="1" applyAlignment="1">
      <alignment horizontal="right"/>
    </xf>
    <xf numFmtId="166" fontId="8" fillId="0" borderId="0" xfId="6" applyNumberFormat="1" applyFont="1" applyAlignment="1">
      <alignment horizontal="left" vertical="center"/>
    </xf>
    <xf numFmtId="4" fontId="8" fillId="0" borderId="0" xfId="6" applyNumberFormat="1" applyFont="1" applyAlignment="1">
      <alignment horizontal="left"/>
    </xf>
    <xf numFmtId="166" fontId="8" fillId="2" borderId="0" xfId="6" applyNumberFormat="1" applyFont="1" applyFill="1" applyAlignment="1">
      <alignment horizontal="left" vertical="center"/>
    </xf>
    <xf numFmtId="0" fontId="12" fillId="2" borderId="0" xfId="6" applyFont="1" applyFill="1" applyAlignment="1">
      <alignment horizontal="left" vertical="center"/>
    </xf>
    <xf numFmtId="0" fontId="12" fillId="2" borderId="0" xfId="6" applyFont="1" applyFill="1" applyAlignment="1">
      <alignment horizontal="right"/>
    </xf>
    <xf numFmtId="10" fontId="12" fillId="2" borderId="0" xfId="6" applyNumberFormat="1" applyFont="1" applyFill="1" applyAlignment="1">
      <alignment horizontal="right"/>
    </xf>
    <xf numFmtId="10" fontId="8" fillId="0" borderId="0" xfId="6" applyNumberFormat="1" applyFont="1" applyAlignment="1">
      <alignment horizontal="right"/>
    </xf>
    <xf numFmtId="4" fontId="8" fillId="0" borderId="0" xfId="6" applyNumberFormat="1" applyFont="1" applyAlignment="1">
      <alignment horizontal="left" vertical="center"/>
    </xf>
    <xf numFmtId="4" fontId="8" fillId="2" borderId="0" xfId="6" applyNumberFormat="1" applyFont="1" applyFill="1" applyAlignment="1">
      <alignment horizontal="right" vertical="center"/>
    </xf>
    <xf numFmtId="10" fontId="8" fillId="2" borderId="0" xfId="1" applyNumberFormat="1" applyFont="1" applyFill="1" applyBorder="1" applyAlignment="1" applyProtection="1">
      <alignment horizontal="center" vertical="center"/>
    </xf>
    <xf numFmtId="166" fontId="8" fillId="2" borderId="5" xfId="6" applyNumberFormat="1" applyFont="1" applyFill="1" applyBorder="1" applyAlignment="1">
      <alignment horizontal="left" vertical="center"/>
    </xf>
    <xf numFmtId="0" fontId="8" fillId="2" borderId="5" xfId="6" applyFont="1" applyFill="1" applyBorder="1" applyAlignment="1">
      <alignment horizontal="left"/>
    </xf>
    <xf numFmtId="4" fontId="8" fillId="2" borderId="5" xfId="6" applyNumberFormat="1" applyFont="1" applyFill="1" applyBorder="1" applyAlignment="1">
      <alignment horizontal="right"/>
    </xf>
    <xf numFmtId="0" fontId="8" fillId="2" borderId="5" xfId="6" applyFont="1" applyFill="1" applyBorder="1" applyAlignment="1">
      <alignment horizontal="right"/>
    </xf>
    <xf numFmtId="0" fontId="8" fillId="2" borderId="5" xfId="6" applyFont="1" applyFill="1" applyBorder="1" applyAlignment="1">
      <alignment horizontal="center" vertical="center"/>
    </xf>
    <xf numFmtId="4" fontId="8" fillId="2" borderId="5" xfId="6" applyNumberFormat="1" applyFont="1" applyFill="1" applyBorder="1" applyAlignment="1">
      <alignment horizontal="right" vertical="center"/>
    </xf>
    <xf numFmtId="0" fontId="8" fillId="2" borderId="5" xfId="6" applyFont="1" applyFill="1" applyBorder="1" applyAlignment="1">
      <alignment horizontal="right" vertical="center"/>
    </xf>
    <xf numFmtId="10" fontId="8" fillId="2" borderId="5" xfId="1" applyNumberFormat="1" applyFont="1" applyFill="1" applyBorder="1" applyAlignment="1" applyProtection="1">
      <alignment horizontal="center" vertical="center"/>
    </xf>
    <xf numFmtId="0" fontId="8" fillId="2" borderId="5" xfId="6" applyFont="1" applyFill="1" applyBorder="1" applyAlignment="1">
      <alignment horizontal="left" vertical="center"/>
    </xf>
    <xf numFmtId="3" fontId="8" fillId="0" borderId="5" xfId="6" applyNumberFormat="1" applyFont="1" applyBorder="1" applyAlignment="1">
      <alignment horizontal="center"/>
    </xf>
    <xf numFmtId="0" fontId="8" fillId="0" borderId="5" xfId="6" applyFont="1" applyBorder="1"/>
    <xf numFmtId="4" fontId="12" fillId="2" borderId="0" xfId="6" applyNumberFormat="1" applyFont="1" applyFill="1" applyAlignment="1">
      <alignment horizontal="center" vertical="center"/>
    </xf>
    <xf numFmtId="166" fontId="12" fillId="2" borderId="3" xfId="6" applyNumberFormat="1" applyFont="1" applyFill="1" applyBorder="1" applyAlignment="1">
      <alignment horizontal="center" vertical="center" wrapText="1"/>
    </xf>
    <xf numFmtId="0" fontId="12" fillId="2" borderId="3" xfId="6" applyFont="1" applyFill="1" applyBorder="1" applyAlignment="1">
      <alignment horizontal="center" vertical="center" wrapText="1"/>
    </xf>
    <xf numFmtId="4" fontId="12" fillId="2" borderId="3" xfId="6" applyNumberFormat="1" applyFont="1" applyFill="1" applyBorder="1" applyAlignment="1">
      <alignment horizontal="center" vertical="center" wrapText="1"/>
    </xf>
    <xf numFmtId="4" fontId="12" fillId="2" borderId="7" xfId="6" applyNumberFormat="1" applyFont="1" applyFill="1" applyBorder="1" applyAlignment="1">
      <alignment horizontal="center" vertical="center" wrapText="1"/>
    </xf>
    <xf numFmtId="10" fontId="12" fillId="2" borderId="3" xfId="1" applyNumberFormat="1" applyFont="1" applyFill="1" applyBorder="1" applyAlignment="1" applyProtection="1">
      <alignment horizontal="center" vertical="center" wrapText="1"/>
    </xf>
    <xf numFmtId="3" fontId="12" fillId="0" borderId="0" xfId="6" applyNumberFormat="1" applyFont="1" applyAlignment="1">
      <alignment horizontal="center" vertical="center" wrapText="1"/>
    </xf>
    <xf numFmtId="0" fontId="12" fillId="0" borderId="0" xfId="6" applyFont="1" applyAlignment="1">
      <alignment horizontal="center" vertical="center" wrapText="1"/>
    </xf>
    <xf numFmtId="166" fontId="8" fillId="0" borderId="3" xfId="6" applyNumberFormat="1" applyFont="1" applyBorder="1" applyAlignment="1">
      <alignment horizontal="center"/>
    </xf>
    <xf numFmtId="0" fontId="8" fillId="0" borderId="3" xfId="6" applyFont="1" applyBorder="1" applyAlignment="1">
      <alignment horizontal="left" vertical="center"/>
    </xf>
    <xf numFmtId="4" fontId="8" fillId="0" borderId="3" xfId="6" applyNumberFormat="1" applyFont="1" applyBorder="1" applyAlignment="1">
      <alignment horizontal="right"/>
    </xf>
    <xf numFmtId="4" fontId="8" fillId="2" borderId="3" xfId="6" applyNumberFormat="1" applyFont="1" applyFill="1" applyBorder="1" applyAlignment="1">
      <alignment horizontal="right"/>
    </xf>
    <xf numFmtId="4" fontId="8" fillId="2" borderId="7" xfId="6" applyNumberFormat="1" applyFont="1" applyFill="1" applyBorder="1" applyAlignment="1">
      <alignment horizontal="right"/>
    </xf>
    <xf numFmtId="0" fontId="10" fillId="3" borderId="3" xfId="6" applyFont="1" applyFill="1" applyBorder="1" applyAlignment="1">
      <alignment horizontal="center" vertical="center"/>
    </xf>
    <xf numFmtId="4" fontId="10" fillId="3" borderId="3" xfId="6" applyNumberFormat="1" applyFont="1" applyFill="1" applyBorder="1" applyAlignment="1">
      <alignment horizontal="right" vertical="center"/>
    </xf>
    <xf numFmtId="4" fontId="8" fillId="2" borderId="3" xfId="6" applyNumberFormat="1" applyFont="1" applyFill="1" applyBorder="1" applyAlignment="1">
      <alignment horizontal="right" vertical="center"/>
    </xf>
    <xf numFmtId="10" fontId="8" fillId="2" borderId="3" xfId="1" applyNumberFormat="1" applyFont="1" applyFill="1" applyBorder="1" applyAlignment="1" applyProtection="1">
      <alignment horizontal="center" vertical="center"/>
    </xf>
    <xf numFmtId="0" fontId="8" fillId="2" borderId="3" xfId="6" applyFont="1" applyFill="1" applyBorder="1" applyAlignment="1">
      <alignment horizontal="left" vertical="center"/>
    </xf>
    <xf numFmtId="4" fontId="8" fillId="2" borderId="3" xfId="6" applyNumberFormat="1" applyFont="1" applyFill="1" applyBorder="1" applyAlignment="1">
      <alignment horizontal="right" vertical="top"/>
    </xf>
    <xf numFmtId="4" fontId="8" fillId="3" borderId="3" xfId="6" applyNumberFormat="1" applyFont="1" applyFill="1" applyBorder="1" applyAlignment="1">
      <alignment horizontal="right"/>
    </xf>
    <xf numFmtId="4" fontId="8" fillId="0" borderId="0" xfId="6" applyNumberFormat="1" applyFont="1"/>
    <xf numFmtId="0" fontId="8" fillId="3" borderId="3" xfId="6" applyFont="1" applyFill="1" applyBorder="1" applyAlignment="1">
      <alignment horizontal="center" vertical="center"/>
    </xf>
    <xf numFmtId="4" fontId="8" fillId="3" borderId="3" xfId="6" applyNumberFormat="1" applyFont="1" applyFill="1" applyBorder="1" applyAlignment="1">
      <alignment horizontal="right" vertical="center"/>
    </xf>
    <xf numFmtId="0" fontId="8" fillId="2" borderId="3" xfId="6" applyFont="1" applyFill="1" applyBorder="1" applyAlignment="1">
      <alignment horizontal="right" vertical="top"/>
    </xf>
    <xf numFmtId="4" fontId="8" fillId="3" borderId="3" xfId="6" applyNumberFormat="1" applyFont="1" applyFill="1" applyBorder="1" applyAlignment="1">
      <alignment horizontal="right" vertical="top"/>
    </xf>
    <xf numFmtId="0" fontId="8" fillId="0" borderId="3" xfId="6" applyFont="1" applyBorder="1" applyAlignment="1">
      <alignment horizontal="center" vertical="center"/>
    </xf>
    <xf numFmtId="4" fontId="8" fillId="0" borderId="3" xfId="6" applyNumberFormat="1" applyFont="1" applyBorder="1" applyAlignment="1">
      <alignment horizontal="right" vertical="top"/>
    </xf>
    <xf numFmtId="168" fontId="8" fillId="0" borderId="0" xfId="6" applyNumberFormat="1" applyFont="1"/>
    <xf numFmtId="10" fontId="8" fillId="0" borderId="0" xfId="6" applyNumberFormat="1" applyFont="1"/>
    <xf numFmtId="10" fontId="8" fillId="0" borderId="3" xfId="1" applyNumberFormat="1" applyFont="1" applyBorder="1" applyAlignment="1" applyProtection="1">
      <alignment horizontal="center" vertical="center"/>
    </xf>
    <xf numFmtId="166" fontId="8" fillId="2" borderId="0" xfId="6" applyNumberFormat="1" applyFont="1" applyFill="1" applyAlignment="1">
      <alignment horizontal="center" vertical="center"/>
    </xf>
    <xf numFmtId="0" fontId="12" fillId="2" borderId="8" xfId="6" applyFont="1" applyFill="1" applyBorder="1" applyAlignment="1">
      <alignment horizontal="left"/>
    </xf>
    <xf numFmtId="4" fontId="12" fillId="2" borderId="9" xfId="6" applyNumberFormat="1" applyFont="1" applyFill="1" applyBorder="1" applyAlignment="1">
      <alignment horizontal="right"/>
    </xf>
    <xf numFmtId="0" fontId="12" fillId="2" borderId="9" xfId="6" applyFont="1" applyFill="1" applyBorder="1" applyAlignment="1">
      <alignment horizontal="right"/>
    </xf>
    <xf numFmtId="4" fontId="12" fillId="2" borderId="7" xfId="6" applyNumberFormat="1" applyFont="1" applyFill="1" applyBorder="1" applyAlignment="1">
      <alignment horizontal="right"/>
    </xf>
    <xf numFmtId="0" fontId="12" fillId="2" borderId="10" xfId="6" applyFont="1" applyFill="1" applyBorder="1" applyAlignment="1">
      <alignment horizontal="center" vertical="center"/>
    </xf>
    <xf numFmtId="4" fontId="12" fillId="2" borderId="6" xfId="6" applyNumberFormat="1" applyFont="1" applyFill="1" applyBorder="1" applyAlignment="1">
      <alignment horizontal="right" vertical="center"/>
    </xf>
    <xf numFmtId="0" fontId="12" fillId="2" borderId="6" xfId="6" applyFont="1" applyFill="1" applyBorder="1" applyAlignment="1">
      <alignment horizontal="right" vertical="center"/>
    </xf>
    <xf numFmtId="10" fontId="12" fillId="2" borderId="6" xfId="1" applyNumberFormat="1" applyFont="1" applyFill="1" applyBorder="1" applyAlignment="1" applyProtection="1">
      <alignment horizontal="center" vertical="center"/>
    </xf>
    <xf numFmtId="0" fontId="12" fillId="2" borderId="6" xfId="6" applyFont="1" applyFill="1" applyBorder="1" applyAlignment="1">
      <alignment horizontal="left" vertical="center"/>
    </xf>
    <xf numFmtId="0" fontId="12" fillId="2" borderId="11" xfId="6" applyFont="1" applyFill="1" applyBorder="1" applyAlignment="1">
      <alignment horizontal="right" vertical="center"/>
    </xf>
    <xf numFmtId="4" fontId="8" fillId="2" borderId="12" xfId="6" applyNumberFormat="1" applyFont="1" applyFill="1" applyBorder="1" applyAlignment="1">
      <alignment horizontal="right"/>
    </xf>
    <xf numFmtId="4" fontId="8" fillId="2" borderId="0" xfId="6" applyNumberFormat="1" applyFont="1" applyFill="1" applyAlignment="1">
      <alignment horizontal="right" vertical="top"/>
    </xf>
    <xf numFmtId="0" fontId="8" fillId="2" borderId="0" xfId="6" applyFont="1" applyFill="1" applyAlignment="1">
      <alignment horizontal="right" vertical="center"/>
    </xf>
    <xf numFmtId="0" fontId="12" fillId="2" borderId="6" xfId="6" applyFont="1" applyFill="1" applyBorder="1" applyAlignment="1">
      <alignment horizontal="left"/>
    </xf>
    <xf numFmtId="4" fontId="12" fillId="2" borderId="6" xfId="6" applyNumberFormat="1" applyFont="1" applyFill="1" applyBorder="1" applyAlignment="1">
      <alignment horizontal="right"/>
    </xf>
    <xf numFmtId="0" fontId="12" fillId="2" borderId="6" xfId="6" applyFont="1" applyFill="1" applyBorder="1" applyAlignment="1">
      <alignment horizontal="right"/>
    </xf>
    <xf numFmtId="4" fontId="12" fillId="2" borderId="6" xfId="6" applyNumberFormat="1" applyFont="1" applyFill="1" applyBorder="1"/>
    <xf numFmtId="0" fontId="8" fillId="2" borderId="6" xfId="6" applyFont="1" applyFill="1" applyBorder="1" applyAlignment="1">
      <alignment horizontal="left"/>
    </xf>
    <xf numFmtId="168" fontId="12" fillId="2" borderId="6" xfId="6" applyNumberFormat="1" applyFont="1" applyFill="1" applyBorder="1" applyAlignment="1">
      <alignment horizontal="right" vertical="center"/>
    </xf>
    <xf numFmtId="0" fontId="8" fillId="2" borderId="6" xfId="6" applyFont="1" applyFill="1" applyBorder="1" applyAlignment="1">
      <alignment horizontal="left" vertical="center"/>
    </xf>
    <xf numFmtId="168" fontId="13" fillId="2" borderId="6" xfId="6" applyNumberFormat="1" applyFont="1" applyFill="1" applyBorder="1" applyAlignment="1">
      <alignment horizontal="right"/>
    </xf>
    <xf numFmtId="166" fontId="8" fillId="2" borderId="6" xfId="25" applyNumberFormat="1" applyFont="1" applyFill="1" applyBorder="1" applyAlignment="1">
      <alignment horizontal="left" vertical="center"/>
    </xf>
    <xf numFmtId="4" fontId="8" fillId="2" borderId="6" xfId="25" applyNumberFormat="1" applyFont="1" applyFill="1" applyBorder="1" applyAlignment="1">
      <alignment vertical="center"/>
    </xf>
    <xf numFmtId="4" fontId="8" fillId="2" borderId="6" xfId="25" applyNumberFormat="1" applyFont="1" applyFill="1" applyBorder="1" applyAlignment="1">
      <alignment horizontal="right" vertical="center"/>
    </xf>
    <xf numFmtId="169" fontId="8" fillId="2" borderId="6" xfId="25" applyNumberFormat="1" applyFont="1" applyFill="1" applyBorder="1" applyAlignment="1">
      <alignment vertical="center"/>
    </xf>
    <xf numFmtId="169" fontId="8" fillId="2" borderId="6" xfId="25" applyNumberFormat="1" applyFont="1" applyFill="1" applyBorder="1" applyAlignment="1">
      <alignment horizontal="right" vertical="center"/>
    </xf>
    <xf numFmtId="0" fontId="7" fillId="0" borderId="0" xfId="6" applyFont="1"/>
    <xf numFmtId="169" fontId="8" fillId="2" borderId="0" xfId="25" applyNumberFormat="1" applyFont="1" applyFill="1" applyAlignment="1">
      <alignment vertical="center"/>
    </xf>
    <xf numFmtId="4" fontId="8" fillId="2" borderId="0" xfId="25" applyNumberFormat="1" applyFont="1" applyFill="1" applyAlignment="1">
      <alignment vertical="center"/>
    </xf>
    <xf numFmtId="166" fontId="7" fillId="0" borderId="0" xfId="6" applyNumberFormat="1" applyFont="1"/>
    <xf numFmtId="169" fontId="13" fillId="2" borderId="6" xfId="25" applyNumberFormat="1" applyFont="1" applyFill="1" applyBorder="1" applyAlignment="1">
      <alignment vertical="center"/>
    </xf>
    <xf numFmtId="170" fontId="13" fillId="2" borderId="6" xfId="25" applyNumberFormat="1" applyFont="1" applyFill="1" applyBorder="1" applyAlignment="1">
      <alignment vertical="center"/>
    </xf>
    <xf numFmtId="169" fontId="12" fillId="2" borderId="6" xfId="25" applyNumberFormat="1" applyFont="1" applyFill="1" applyBorder="1" applyAlignment="1">
      <alignment vertical="center"/>
    </xf>
    <xf numFmtId="0" fontId="12" fillId="2" borderId="0" xfId="25" applyFont="1" applyFill="1" applyAlignment="1">
      <alignment horizontal="left"/>
    </xf>
    <xf numFmtId="0" fontId="12" fillId="2" borderId="6" xfId="6" applyFont="1" applyFill="1" applyBorder="1" applyAlignment="1">
      <alignment horizontal="center"/>
    </xf>
    <xf numFmtId="0" fontId="12" fillId="2" borderId="6" xfId="6" applyFont="1" applyFill="1" applyBorder="1" applyAlignment="1">
      <alignment horizontal="center" vertical="center"/>
    </xf>
    <xf numFmtId="4" fontId="7" fillId="0" borderId="3" xfId="6" applyNumberFormat="1" applyFont="1" applyBorder="1" applyAlignment="1">
      <alignment horizontal="center"/>
    </xf>
    <xf numFmtId="4" fontId="15" fillId="4" borderId="3" xfId="6" applyNumberFormat="1" applyFont="1" applyFill="1" applyBorder="1" applyAlignment="1">
      <alignment horizontal="right"/>
    </xf>
    <xf numFmtId="4" fontId="15" fillId="0" borderId="3" xfId="6" applyNumberFormat="1" applyFont="1" applyBorder="1" applyAlignment="1">
      <alignment horizontal="right"/>
    </xf>
  </cellXfs>
  <cellStyles count="41">
    <cellStyle name="Moeda 2" xfId="2" xr:uid="{00000000-0005-0000-0000-000006000000}"/>
    <cellStyle name="Moeda 3" xfId="3" xr:uid="{00000000-0005-0000-0000-000007000000}"/>
    <cellStyle name="Normal" xfId="0" builtinId="0"/>
    <cellStyle name="Normal 2" xfId="4" xr:uid="{00000000-0005-0000-0000-000008000000}"/>
    <cellStyle name="Normal 2 2" xfId="5" xr:uid="{00000000-0005-0000-0000-000009000000}"/>
    <cellStyle name="Normal 2 3" xfId="6" xr:uid="{00000000-0005-0000-0000-00000A000000}"/>
    <cellStyle name="Normal 2 3 2" xfId="7" xr:uid="{00000000-0005-0000-0000-00000B000000}"/>
    <cellStyle name="Normal 2 3 3" xfId="8" xr:uid="{00000000-0005-0000-0000-00000C000000}"/>
    <cellStyle name="Normal 2 5 3" xfId="9" xr:uid="{00000000-0005-0000-0000-00000D000000}"/>
    <cellStyle name="Normal 2 6" xfId="10" xr:uid="{00000000-0005-0000-0000-00000E000000}"/>
    <cellStyle name="Normal 2 7" xfId="11" xr:uid="{00000000-0005-0000-0000-00000F000000}"/>
    <cellStyle name="Normal 3" xfId="12" xr:uid="{00000000-0005-0000-0000-000010000000}"/>
    <cellStyle name="Normal 3 2 2" xfId="13" xr:uid="{00000000-0005-0000-0000-000011000000}"/>
    <cellStyle name="Normal 3 2 3" xfId="14" xr:uid="{00000000-0005-0000-0000-000012000000}"/>
    <cellStyle name="Normal 3 3 2 2" xfId="15" xr:uid="{00000000-0005-0000-0000-000013000000}"/>
    <cellStyle name="Normal 3 3 2 2 3" xfId="16" xr:uid="{00000000-0005-0000-0000-000014000000}"/>
    <cellStyle name="Normal 3 3 2 3" xfId="17" xr:uid="{00000000-0005-0000-0000-000015000000}"/>
    <cellStyle name="Normal 3 4" xfId="18" xr:uid="{00000000-0005-0000-0000-000016000000}"/>
    <cellStyle name="Normal 3 4 2" xfId="19" xr:uid="{00000000-0005-0000-0000-000017000000}"/>
    <cellStyle name="Normal 4" xfId="20" xr:uid="{00000000-0005-0000-0000-000018000000}"/>
    <cellStyle name="Normal 4 2" xfId="21" xr:uid="{00000000-0005-0000-0000-000019000000}"/>
    <cellStyle name="Normal 4 4" xfId="22" xr:uid="{00000000-0005-0000-0000-00001A000000}"/>
    <cellStyle name="Normal 5" xfId="23" xr:uid="{00000000-0005-0000-0000-00001B000000}"/>
    <cellStyle name="Normal 6" xfId="24" xr:uid="{00000000-0005-0000-0000-00001C000000}"/>
    <cellStyle name="Normal 6 2" xfId="25" xr:uid="{00000000-0005-0000-0000-00001D000000}"/>
    <cellStyle name="Normal 7" xfId="26" xr:uid="{00000000-0005-0000-0000-00001E000000}"/>
    <cellStyle name="Normal 7 2" xfId="27" xr:uid="{00000000-0005-0000-0000-00001F000000}"/>
    <cellStyle name="Normal 8" xfId="28" xr:uid="{00000000-0005-0000-0000-000020000000}"/>
    <cellStyle name="Normal 8 2" xfId="29" xr:uid="{00000000-0005-0000-0000-000021000000}"/>
    <cellStyle name="Porcentagem" xfId="1" builtinId="5"/>
    <cellStyle name="Porcentagem 2" xfId="30" xr:uid="{00000000-0005-0000-0000-000022000000}"/>
    <cellStyle name="Porcentagem 2 2" xfId="31" xr:uid="{00000000-0005-0000-0000-000023000000}"/>
    <cellStyle name="Porcentagem 2 3" xfId="32" xr:uid="{00000000-0005-0000-0000-000024000000}"/>
    <cellStyle name="Porcentagem 3" xfId="33" xr:uid="{00000000-0005-0000-0000-000025000000}"/>
    <cellStyle name="Porcentagem 3 2" xfId="34" xr:uid="{00000000-0005-0000-0000-000026000000}"/>
    <cellStyle name="Porcentagem 3 3" xfId="35" xr:uid="{00000000-0005-0000-0000-000027000000}"/>
    <cellStyle name="Porcentagem 3 4" xfId="36" xr:uid="{00000000-0005-0000-0000-000028000000}"/>
    <cellStyle name="Porcentagem 4" xfId="37" xr:uid="{00000000-0005-0000-0000-000029000000}"/>
    <cellStyle name="Vírgula 2" xfId="38" xr:uid="{00000000-0005-0000-0000-00002A000000}"/>
    <cellStyle name="Vírgula 2 2" xfId="39" xr:uid="{00000000-0005-0000-0000-00002B000000}"/>
    <cellStyle name="Vírgula 2 3" xfId="40" xr:uid="{00000000-0005-0000-0000-00002C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F9:I13"/>
  <sheetViews>
    <sheetView view="pageBreakPreview" zoomScaleNormal="100" workbookViewId="0">
      <selection activeCell="F9" activeCellId="1" sqref="A20:XFD57 F9"/>
    </sheetView>
  </sheetViews>
  <sheetFormatPr defaultColWidth="8.7109375" defaultRowHeight="15"/>
  <cols>
    <col min="6" max="6" width="11.85546875" customWidth="1"/>
    <col min="7" max="7" width="25.28515625" customWidth="1"/>
    <col min="9" max="9" width="11.85546875" customWidth="1"/>
  </cols>
  <sheetData>
    <row r="9" spans="6:9">
      <c r="F9" s="2" t="s">
        <v>0</v>
      </c>
      <c r="G9" s="3" t="s">
        <v>1</v>
      </c>
      <c r="H9" s="4" t="s">
        <v>2</v>
      </c>
      <c r="I9" s="5" t="s">
        <v>3</v>
      </c>
    </row>
    <row r="10" spans="6:9">
      <c r="F10" s="6">
        <v>44739</v>
      </c>
      <c r="G10" s="7" t="s">
        <v>4</v>
      </c>
      <c r="H10" s="8">
        <v>1146.81</v>
      </c>
      <c r="I10" s="9">
        <f>H10</f>
        <v>1146.81</v>
      </c>
    </row>
    <row r="11" spans="6:9">
      <c r="F11" s="10">
        <v>44740</v>
      </c>
      <c r="G11" s="11" t="s">
        <v>5</v>
      </c>
      <c r="H11" s="12">
        <v>2162.0300000000002</v>
      </c>
      <c r="I11" s="129">
        <f>H11+H12</f>
        <v>4093.05</v>
      </c>
    </row>
    <row r="12" spans="6:9">
      <c r="F12" s="10">
        <v>45111</v>
      </c>
      <c r="G12" s="11" t="s">
        <v>5</v>
      </c>
      <c r="H12" s="12">
        <v>1931.02</v>
      </c>
      <c r="I12" s="129"/>
    </row>
    <row r="13" spans="6:9">
      <c r="F13" s="13" t="s">
        <v>6</v>
      </c>
      <c r="G13" s="13"/>
      <c r="H13" s="13"/>
      <c r="I13" s="14">
        <f>SUM(I10:I12)</f>
        <v>5239.8600000000006</v>
      </c>
    </row>
  </sheetData>
  <mergeCells count="1">
    <mergeCell ref="I11:I1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AMK71"/>
  <sheetViews>
    <sheetView showGridLines="0" tabSelected="1" view="pageBreakPreview" topLeftCell="K1" zoomScaleNormal="100" workbookViewId="0">
      <selection activeCell="P26" sqref="P26"/>
    </sheetView>
  </sheetViews>
  <sheetFormatPr defaultColWidth="9.140625" defaultRowHeight="15"/>
  <cols>
    <col min="1" max="1" width="10.5703125" style="15" customWidth="1"/>
    <col min="2" max="2" width="20.28515625" style="16" customWidth="1"/>
    <col min="3" max="3" width="10.140625" style="17" customWidth="1"/>
    <col min="4" max="4" width="10.42578125" style="18" customWidth="1"/>
    <col min="5" max="5" width="9.5703125" style="17" customWidth="1"/>
    <col min="6" max="6" width="1" style="19" customWidth="1"/>
    <col min="7" max="7" width="9" style="20" customWidth="1"/>
    <col min="8" max="8" width="12.85546875" style="20" customWidth="1"/>
    <col min="9" max="9" width="9.7109375" style="21" customWidth="1"/>
    <col min="10" max="10" width="8.28515625" style="21" customWidth="1"/>
    <col min="11" max="11" width="10.7109375" style="22" customWidth="1"/>
    <col min="12" max="12" width="10.7109375" style="21" customWidth="1"/>
    <col min="13" max="13" width="10.7109375" style="23" customWidth="1"/>
    <col min="14" max="14" width="10.7109375" style="20" customWidth="1"/>
    <col min="15" max="15" width="66.42578125" style="24" customWidth="1"/>
    <col min="16" max="16" width="10.7109375" style="18" customWidth="1"/>
    <col min="17" max="18" width="10.7109375" style="17" customWidth="1"/>
    <col min="19" max="20" width="10.7109375" style="17" hidden="1" customWidth="1"/>
    <col min="21" max="22" width="10.7109375" style="17" customWidth="1"/>
    <col min="23" max="23" width="10.7109375" style="18" customWidth="1"/>
    <col min="24" max="24" width="6.5703125" style="25" customWidth="1"/>
    <col min="25" max="1025" width="9.140625" style="26"/>
  </cols>
  <sheetData>
    <row r="1" spans="1:31">
      <c r="A1" s="27" t="str">
        <f>"Recálculo da operação nº "&amp;AA1&amp;" - Capitalização "&amp;AA2</f>
        <v>Recálculo da operação nº 409.906.274 - Capitalização Afastada</v>
      </c>
      <c r="B1" s="28"/>
      <c r="C1" s="29"/>
      <c r="D1" s="30"/>
      <c r="E1" s="29"/>
      <c r="G1" s="31"/>
      <c r="H1" s="32"/>
      <c r="I1" s="29"/>
      <c r="J1" s="29"/>
      <c r="K1" s="30"/>
      <c r="L1" s="29"/>
      <c r="M1" s="33"/>
      <c r="N1" s="32"/>
      <c r="O1" s="34"/>
      <c r="P1" s="30"/>
      <c r="Q1" s="29"/>
      <c r="R1" s="29"/>
      <c r="S1" s="29"/>
      <c r="T1" s="29"/>
      <c r="U1" s="29"/>
      <c r="V1" s="29"/>
      <c r="W1" s="30"/>
      <c r="Y1" s="26">
        <f ca="1">_xlfn.SHEET()</f>
        <v>2</v>
      </c>
      <c r="Z1" s="26" t="s">
        <v>7</v>
      </c>
      <c r="AA1" s="35" t="s">
        <v>8</v>
      </c>
      <c r="AB1" s="26" t="s">
        <v>9</v>
      </c>
      <c r="AC1" s="26" t="s">
        <v>10</v>
      </c>
      <c r="AD1" s="26" t="s">
        <v>11</v>
      </c>
      <c r="AE1" s="26" t="s">
        <v>12</v>
      </c>
    </row>
    <row r="2" spans="1:31">
      <c r="A2" s="36" t="s">
        <v>13</v>
      </c>
      <c r="G2" s="31"/>
      <c r="H2" s="32"/>
      <c r="I2" s="29"/>
      <c r="J2" s="29"/>
      <c r="K2" s="37" t="s">
        <v>14</v>
      </c>
      <c r="L2" s="29"/>
      <c r="M2" s="33"/>
      <c r="N2" s="32"/>
      <c r="O2" s="38"/>
      <c r="P2" s="39"/>
      <c r="Q2" s="40"/>
      <c r="R2" s="40"/>
      <c r="S2" s="40"/>
      <c r="T2" s="40"/>
      <c r="U2" s="40"/>
      <c r="V2" s="29"/>
      <c r="W2" s="30"/>
      <c r="Z2" s="26" t="s">
        <v>15</v>
      </c>
      <c r="AA2" s="35" t="str">
        <f>AD1</f>
        <v>Afastada</v>
      </c>
      <c r="AB2" s="26" t="s">
        <v>16</v>
      </c>
      <c r="AC2" s="26" t="s">
        <v>17</v>
      </c>
      <c r="AD2" s="26" t="s">
        <v>18</v>
      </c>
      <c r="AE2" s="26" t="s">
        <v>19</v>
      </c>
    </row>
    <row r="3" spans="1:31">
      <c r="A3" s="41" t="s">
        <v>20</v>
      </c>
      <c r="B3" s="42">
        <f>SUMIF($B$13:$B$19,#REF!,$C$13:$C$19)</f>
        <v>0</v>
      </c>
      <c r="C3" s="41" t="s">
        <v>21</v>
      </c>
      <c r="G3" s="31"/>
      <c r="H3" s="32"/>
      <c r="I3" s="29"/>
      <c r="J3" s="29"/>
      <c r="K3" s="43" t="str">
        <f>HLOOKUP(AA2,$AB$1:$AE$2,2,)</f>
        <v>Afastamento da capitalização de juros remuneratórios de normalidade</v>
      </c>
      <c r="L3" s="29"/>
      <c r="M3" s="33"/>
      <c r="N3" s="32"/>
      <c r="O3" s="44"/>
      <c r="P3" s="45"/>
      <c r="Q3" s="46"/>
      <c r="R3" s="46"/>
      <c r="S3" s="46"/>
      <c r="T3" s="46"/>
      <c r="U3" s="46"/>
      <c r="V3" s="29"/>
      <c r="W3" s="30"/>
      <c r="Z3" s="35" t="s">
        <v>22</v>
      </c>
      <c r="AA3" s="26" t="str">
        <f>IF(Z3="Execução","executado","cobrado")</f>
        <v>executado</v>
      </c>
      <c r="AB3" s="26" t="str">
        <f>IF(Z3="execução","execução","cobrança")</f>
        <v>execução</v>
      </c>
    </row>
    <row r="4" spans="1:31">
      <c r="A4" s="41" t="s">
        <v>23</v>
      </c>
      <c r="B4" s="42">
        <f>SUMIF($B$13:$B$19,#REF!,$C$13:$C$19)</f>
        <v>0</v>
      </c>
      <c r="C4" s="42" t="s">
        <v>24</v>
      </c>
      <c r="D4" s="47">
        <v>5.5E-2</v>
      </c>
      <c r="E4" s="48" t="s">
        <v>25</v>
      </c>
      <c r="G4" s="31"/>
      <c r="H4" s="31"/>
      <c r="I4" s="49"/>
      <c r="J4" s="49"/>
      <c r="K4" s="24" t="s">
        <v>26</v>
      </c>
      <c r="L4" s="49"/>
      <c r="M4" s="50"/>
      <c r="N4" s="31"/>
      <c r="O4" s="44"/>
      <c r="P4" s="45"/>
      <c r="Q4" s="46"/>
      <c r="R4" s="46"/>
      <c r="S4" s="46"/>
      <c r="T4" s="46"/>
      <c r="U4" s="46"/>
      <c r="V4" s="29"/>
      <c r="W4" s="30"/>
    </row>
    <row r="5" spans="1:31">
      <c r="A5" s="26" t="s">
        <v>27</v>
      </c>
      <c r="B5" s="42" t="s">
        <v>28</v>
      </c>
      <c r="D5" s="47">
        <f>(1+D4)^(1/12)-1</f>
        <v>4.471698917043021E-3</v>
      </c>
      <c r="E5" s="48" t="s">
        <v>29</v>
      </c>
      <c r="G5" s="31"/>
      <c r="H5" s="31"/>
      <c r="I5" s="49"/>
      <c r="J5" s="49"/>
      <c r="K5" s="41" t="s">
        <v>30</v>
      </c>
      <c r="L5" s="49"/>
      <c r="M5" s="50"/>
      <c r="N5" s="31"/>
      <c r="O5" s="34"/>
      <c r="P5" s="30"/>
      <c r="Q5" s="29"/>
      <c r="R5" s="29"/>
      <c r="S5" s="29"/>
      <c r="T5" s="29"/>
      <c r="U5" s="29"/>
      <c r="V5" s="29"/>
      <c r="W5" s="30"/>
    </row>
    <row r="6" spans="1:31" ht="13.5" customHeight="1">
      <c r="A6" s="41" t="s">
        <v>31</v>
      </c>
      <c r="B6" s="42">
        <f>SUMIF($B$13:$B$19,#REF!,$C$13:$C$19)</f>
        <v>0</v>
      </c>
      <c r="C6" s="41" t="s">
        <v>32</v>
      </c>
      <c r="D6" s="42">
        <f>SUMIF($B$13:$B$19,#REF!,$C$13:$C$19)</f>
        <v>0</v>
      </c>
      <c r="E6" s="48"/>
      <c r="K6" s="43"/>
    </row>
    <row r="7" spans="1:31" ht="13.5" hidden="1" customHeight="1">
      <c r="A7" s="41" t="s">
        <v>33</v>
      </c>
      <c r="B7" s="42">
        <v>0</v>
      </c>
      <c r="D7" s="47"/>
      <c r="E7" s="48"/>
      <c r="K7" s="43"/>
    </row>
    <row r="8" spans="1:31" ht="13.5" hidden="1" customHeight="1">
      <c r="A8" s="41" t="s">
        <v>34</v>
      </c>
      <c r="B8" s="42">
        <v>0</v>
      </c>
      <c r="D8" s="47"/>
      <c r="E8" s="48"/>
      <c r="K8" s="43"/>
    </row>
    <row r="9" spans="1:31" ht="13.5" hidden="1" customHeight="1">
      <c r="C9" s="26"/>
      <c r="D9" s="26"/>
      <c r="E9" s="26"/>
    </row>
    <row r="10" spans="1:31" s="61" customFormat="1" ht="5.25" customHeight="1">
      <c r="A10" s="51"/>
      <c r="B10" s="52"/>
      <c r="C10" s="53"/>
      <c r="D10" s="54"/>
      <c r="E10" s="53"/>
      <c r="F10" s="19"/>
      <c r="G10" s="55"/>
      <c r="H10" s="55"/>
      <c r="I10" s="56"/>
      <c r="J10" s="56"/>
      <c r="K10" s="57"/>
      <c r="L10" s="56"/>
      <c r="M10" s="58"/>
      <c r="N10" s="55"/>
      <c r="O10" s="59"/>
      <c r="P10" s="54"/>
      <c r="Q10" s="53"/>
      <c r="R10" s="53"/>
      <c r="S10" s="53"/>
      <c r="T10" s="53"/>
      <c r="U10" s="53"/>
      <c r="V10" s="53"/>
      <c r="W10" s="54"/>
      <c r="X10" s="60"/>
    </row>
    <row r="11" spans="1:31">
      <c r="A11" s="127" t="s">
        <v>35</v>
      </c>
      <c r="B11" s="127"/>
      <c r="C11" s="127"/>
      <c r="D11" s="127"/>
      <c r="E11" s="127"/>
      <c r="F11" s="62"/>
      <c r="G11" s="128" t="s">
        <v>36</v>
      </c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</row>
    <row r="12" spans="1:31" s="69" customFormat="1" ht="27.75" customHeight="1">
      <c r="A12" s="63" t="s">
        <v>0</v>
      </c>
      <c r="B12" s="64" t="s">
        <v>1</v>
      </c>
      <c r="C12" s="65" t="s">
        <v>2</v>
      </c>
      <c r="D12" s="64" t="s">
        <v>37</v>
      </c>
      <c r="E12" s="65" t="s">
        <v>38</v>
      </c>
      <c r="F12" s="66"/>
      <c r="G12" s="64" t="s">
        <v>39</v>
      </c>
      <c r="H12" s="64" t="s">
        <v>40</v>
      </c>
      <c r="I12" s="65" t="s">
        <v>41</v>
      </c>
      <c r="J12" s="65" t="s">
        <v>42</v>
      </c>
      <c r="K12" s="64" t="s">
        <v>43</v>
      </c>
      <c r="L12" s="65" t="s">
        <v>44</v>
      </c>
      <c r="M12" s="67" t="s">
        <v>45</v>
      </c>
      <c r="N12" s="64" t="s">
        <v>46</v>
      </c>
      <c r="O12" s="64" t="s">
        <v>1</v>
      </c>
      <c r="P12" s="64" t="s">
        <v>2</v>
      </c>
      <c r="Q12" s="65" t="s">
        <v>37</v>
      </c>
      <c r="R12" s="65" t="s">
        <v>38</v>
      </c>
      <c r="S12" s="65" t="s">
        <v>41</v>
      </c>
      <c r="T12" s="65" t="s">
        <v>42</v>
      </c>
      <c r="U12" s="65" t="s">
        <v>43</v>
      </c>
      <c r="V12" s="65" t="s">
        <v>47</v>
      </c>
      <c r="W12" s="64" t="s">
        <v>48</v>
      </c>
      <c r="X12" s="68"/>
    </row>
    <row r="13" spans="1:31">
      <c r="A13" s="70"/>
      <c r="B13" s="71"/>
      <c r="C13" s="72"/>
      <c r="D13" s="72"/>
      <c r="E13" s="72"/>
      <c r="F13" s="74"/>
      <c r="G13" s="75"/>
      <c r="H13" s="75"/>
      <c r="I13" s="76"/>
      <c r="J13" s="76"/>
      <c r="K13" s="77"/>
      <c r="L13" s="77"/>
      <c r="M13" s="78"/>
      <c r="N13" s="87"/>
      <c r="O13" s="79"/>
      <c r="P13" s="85"/>
      <c r="Q13" s="80"/>
      <c r="R13" s="88"/>
      <c r="S13" s="81"/>
      <c r="T13" s="86"/>
      <c r="U13" s="88"/>
      <c r="V13" s="88"/>
      <c r="W13" s="130">
        <f>V13</f>
        <v>0</v>
      </c>
      <c r="X13" s="82" t="e">
        <f>#REF!-#REF!</f>
        <v>#REF!</v>
      </c>
      <c r="AC13" s="16" t="s">
        <v>49</v>
      </c>
    </row>
    <row r="14" spans="1:31">
      <c r="A14" s="70"/>
      <c r="B14" s="71"/>
      <c r="C14" s="72"/>
      <c r="D14" s="72"/>
      <c r="E14" s="72"/>
      <c r="F14" s="74"/>
      <c r="G14" s="75"/>
      <c r="H14" s="75"/>
      <c r="I14" s="76"/>
      <c r="J14" s="76"/>
      <c r="K14" s="77"/>
      <c r="L14" s="77"/>
      <c r="M14" s="78"/>
      <c r="N14" s="87"/>
      <c r="O14" s="79"/>
      <c r="P14" s="85"/>
      <c r="Q14" s="80"/>
      <c r="R14" s="88"/>
      <c r="S14" s="81"/>
      <c r="T14" s="86"/>
      <c r="U14" s="88"/>
      <c r="V14" s="88"/>
      <c r="W14" s="130">
        <f>W13+V14</f>
        <v>0</v>
      </c>
      <c r="X14" s="82" t="e">
        <f>#REF!-#REF!</f>
        <v>#REF!</v>
      </c>
      <c r="AC14" s="26" t="s">
        <v>50</v>
      </c>
    </row>
    <row r="15" spans="1:31">
      <c r="A15" s="70"/>
      <c r="B15" s="71"/>
      <c r="C15" s="72"/>
      <c r="D15" s="72"/>
      <c r="E15" s="72"/>
      <c r="F15" s="74"/>
      <c r="G15" s="75"/>
      <c r="H15" s="75"/>
      <c r="I15" s="76"/>
      <c r="J15" s="76"/>
      <c r="K15" s="77"/>
      <c r="L15" s="77"/>
      <c r="M15" s="78"/>
      <c r="N15" s="87"/>
      <c r="O15" s="79"/>
      <c r="P15" s="85"/>
      <c r="Q15" s="80"/>
      <c r="R15" s="88"/>
      <c r="S15" s="81"/>
      <c r="T15" s="86"/>
      <c r="U15" s="88"/>
      <c r="V15" s="88"/>
      <c r="W15" s="130">
        <f t="shared" ref="W15:W19" si="0">W14+V15</f>
        <v>0</v>
      </c>
      <c r="X15" s="82" t="e">
        <f>#REF!-#REF!</f>
        <v>#REF!</v>
      </c>
      <c r="AC15" s="42" t="s">
        <v>51</v>
      </c>
    </row>
    <row r="16" spans="1:31">
      <c r="A16" s="70"/>
      <c r="B16" s="71"/>
      <c r="C16" s="72"/>
      <c r="D16" s="72"/>
      <c r="E16" s="72"/>
      <c r="F16" s="74"/>
      <c r="G16" s="75"/>
      <c r="H16" s="75"/>
      <c r="I16" s="76"/>
      <c r="J16" s="76"/>
      <c r="K16" s="77"/>
      <c r="L16" s="77"/>
      <c r="M16" s="78"/>
      <c r="N16" s="87"/>
      <c r="O16" s="79"/>
      <c r="P16" s="85"/>
      <c r="Q16" s="80"/>
      <c r="R16" s="88"/>
      <c r="S16" s="81"/>
      <c r="T16" s="86"/>
      <c r="U16" s="88"/>
      <c r="V16" s="88"/>
      <c r="W16" s="131">
        <f t="shared" si="0"/>
        <v>0</v>
      </c>
      <c r="X16" s="82" t="e">
        <f>#REF!-#REF!</f>
        <v>#REF!</v>
      </c>
      <c r="Y16" s="16"/>
      <c r="AC16" s="42" t="s">
        <v>52</v>
      </c>
    </row>
    <row r="17" spans="1:29">
      <c r="A17" s="70"/>
      <c r="B17" s="71"/>
      <c r="C17" s="72"/>
      <c r="D17" s="72"/>
      <c r="E17" s="72"/>
      <c r="F17" s="74"/>
      <c r="G17" s="75"/>
      <c r="H17" s="75"/>
      <c r="I17" s="76"/>
      <c r="J17" s="76"/>
      <c r="K17" s="77"/>
      <c r="L17" s="77"/>
      <c r="M17" s="78"/>
      <c r="N17" s="87"/>
      <c r="O17" s="79"/>
      <c r="P17" s="85"/>
      <c r="Q17" s="80"/>
      <c r="R17" s="88"/>
      <c r="S17" s="81"/>
      <c r="T17" s="86"/>
      <c r="U17" s="88"/>
      <c r="V17" s="88"/>
      <c r="W17" s="131">
        <f t="shared" si="0"/>
        <v>0</v>
      </c>
      <c r="X17" s="82" t="e">
        <f>#REF!-#REF!</f>
        <v>#REF!</v>
      </c>
      <c r="AA17" s="89"/>
      <c r="AC17" s="42" t="s">
        <v>53</v>
      </c>
    </row>
    <row r="18" spans="1:29">
      <c r="A18" s="70"/>
      <c r="B18" s="71"/>
      <c r="C18" s="72"/>
      <c r="D18" s="72"/>
      <c r="E18" s="72"/>
      <c r="F18" s="74"/>
      <c r="G18" s="83"/>
      <c r="H18" s="83"/>
      <c r="I18" s="84"/>
      <c r="J18" s="84"/>
      <c r="K18" s="77"/>
      <c r="L18" s="77"/>
      <c r="M18" s="91"/>
      <c r="N18" s="87"/>
      <c r="O18" s="79"/>
      <c r="P18" s="85"/>
      <c r="Q18" s="80"/>
      <c r="R18" s="88"/>
      <c r="S18" s="81"/>
      <c r="T18" s="86"/>
      <c r="U18" s="88"/>
      <c r="V18" s="88"/>
      <c r="W18" s="131">
        <f t="shared" si="0"/>
        <v>0</v>
      </c>
      <c r="X18" s="82" t="e">
        <f>#REF!-#REF!</f>
        <v>#REF!</v>
      </c>
      <c r="AA18" s="82"/>
      <c r="AC18" s="26" t="s">
        <v>54</v>
      </c>
    </row>
    <row r="19" spans="1:29">
      <c r="A19" s="70"/>
      <c r="B19" s="71"/>
      <c r="C19" s="72"/>
      <c r="D19" s="72"/>
      <c r="E19" s="72"/>
      <c r="F19" s="74"/>
      <c r="G19" s="83"/>
      <c r="H19" s="83"/>
      <c r="I19" s="84"/>
      <c r="J19" s="84"/>
      <c r="K19" s="77"/>
      <c r="L19" s="77"/>
      <c r="M19" s="78"/>
      <c r="N19" s="87"/>
      <c r="O19" s="79"/>
      <c r="P19" s="85"/>
      <c r="Q19" s="80"/>
      <c r="R19" s="88"/>
      <c r="S19" s="81"/>
      <c r="T19" s="86"/>
      <c r="U19" s="88"/>
      <c r="V19" s="88"/>
      <c r="W19" s="131">
        <f t="shared" si="0"/>
        <v>0</v>
      </c>
      <c r="X19" s="82" t="e">
        <f>#REF!-#REF!</f>
        <v>#REF!</v>
      </c>
      <c r="Z19" s="90"/>
      <c r="AC19" s="16" t="s">
        <v>55</v>
      </c>
    </row>
    <row r="20" spans="1:29">
      <c r="A20" s="92"/>
      <c r="B20" s="93" t="s">
        <v>56</v>
      </c>
      <c r="C20" s="94"/>
      <c r="D20" s="95"/>
      <c r="E20" s="72">
        <f>E19-C20+D20</f>
        <v>0</v>
      </c>
      <c r="F20" s="96"/>
      <c r="G20" s="97"/>
      <c r="H20" s="1"/>
      <c r="I20" s="98"/>
      <c r="J20" s="98"/>
      <c r="K20" s="99"/>
      <c r="L20" s="98"/>
      <c r="M20" s="100"/>
      <c r="N20" s="1"/>
      <c r="O20" s="101" t="s">
        <v>57</v>
      </c>
      <c r="P20" s="99"/>
      <c r="Q20" s="102"/>
      <c r="R20" s="88">
        <f>R19-P20+Q20-C20+D20</f>
        <v>0</v>
      </c>
      <c r="S20" s="103"/>
      <c r="T20" s="104"/>
      <c r="U20" s="104"/>
      <c r="V20" s="40"/>
      <c r="W20" s="40"/>
      <c r="X20" s="82" t="e">
        <f>#REF!-#REF!</f>
        <v>#REF!</v>
      </c>
    </row>
    <row r="21" spans="1:29">
      <c r="A21" s="92"/>
      <c r="B21" s="28"/>
      <c r="C21" s="29"/>
      <c r="D21" s="30"/>
      <c r="E21" s="29"/>
      <c r="F21" s="29"/>
      <c r="G21" s="31"/>
      <c r="H21" s="31"/>
      <c r="I21" s="49"/>
      <c r="J21" s="49"/>
      <c r="K21" s="105"/>
      <c r="L21" s="49"/>
      <c r="M21" s="50"/>
      <c r="N21" s="31"/>
      <c r="O21" s="34"/>
      <c r="P21" s="29"/>
      <c r="Q21" s="29"/>
      <c r="R21" s="104"/>
      <c r="S21" s="104"/>
      <c r="T21" s="104"/>
      <c r="U21" s="104"/>
      <c r="V21" s="29"/>
      <c r="W21" s="29"/>
      <c r="X21" s="82" t="e">
        <f>#REF!-#REF!</f>
        <v>#REF!</v>
      </c>
    </row>
    <row r="22" spans="1:29">
      <c r="A22" s="92"/>
      <c r="B22" s="106" t="s">
        <v>58</v>
      </c>
      <c r="C22" s="107"/>
      <c r="D22" s="108"/>
      <c r="E22" s="107"/>
      <c r="F22" s="109"/>
      <c r="G22" s="1"/>
      <c r="H22" s="1"/>
      <c r="I22" s="98"/>
      <c r="J22" s="98"/>
      <c r="K22" s="99"/>
      <c r="L22" s="98"/>
      <c r="M22" s="100"/>
      <c r="N22" s="1"/>
      <c r="O22" s="110"/>
      <c r="P22" s="111">
        <f>R20-E20</f>
        <v>0</v>
      </c>
      <c r="Q22" s="29"/>
      <c r="R22" s="29"/>
      <c r="S22" s="29"/>
      <c r="T22" s="29"/>
      <c r="U22" s="29"/>
      <c r="V22" s="29"/>
      <c r="W22" s="30"/>
      <c r="X22" s="82" t="e">
        <f>#REF!-#REF!</f>
        <v>#REF!</v>
      </c>
    </row>
    <row r="23" spans="1:29">
      <c r="A23" s="92"/>
      <c r="B23" s="28"/>
      <c r="C23" s="29"/>
      <c r="D23" s="30"/>
      <c r="E23" s="29"/>
      <c r="G23" s="31"/>
      <c r="H23" s="31"/>
      <c r="I23" s="49"/>
      <c r="J23" s="49"/>
      <c r="K23" s="105"/>
      <c r="L23" s="49"/>
      <c r="M23" s="50"/>
      <c r="N23" s="31"/>
      <c r="O23" s="34"/>
      <c r="P23" s="30"/>
      <c r="Q23" s="29"/>
      <c r="R23" s="29"/>
      <c r="S23" s="29"/>
      <c r="T23" s="29"/>
      <c r="U23" s="29"/>
      <c r="V23" s="29"/>
      <c r="W23" s="30"/>
      <c r="X23" s="82" t="e">
        <f>#REF!-#REF!</f>
        <v>#REF!</v>
      </c>
    </row>
    <row r="24" spans="1:29">
      <c r="A24" s="92"/>
      <c r="B24" s="28"/>
      <c r="C24" s="29"/>
      <c r="D24" s="30"/>
      <c r="E24" s="29"/>
      <c r="G24" s="31"/>
      <c r="H24" s="31"/>
      <c r="I24" s="49"/>
      <c r="J24" s="49"/>
      <c r="K24" s="105"/>
      <c r="L24" s="49"/>
      <c r="M24" s="50"/>
      <c r="N24" s="31"/>
      <c r="O24" s="79" t="s">
        <v>59</v>
      </c>
      <c r="P24" s="73">
        <f>R20</f>
        <v>0</v>
      </c>
      <c r="Q24" s="29"/>
      <c r="R24" s="29"/>
      <c r="S24" s="29"/>
      <c r="T24" s="29"/>
      <c r="U24" s="29"/>
      <c r="V24" s="29"/>
      <c r="W24" s="30"/>
      <c r="X24" s="82" t="e">
        <f>#REF!-#REF!</f>
        <v>#REF!</v>
      </c>
      <c r="Y24" s="16"/>
    </row>
    <row r="25" spans="1:29">
      <c r="A25" s="92"/>
      <c r="B25" s="28"/>
      <c r="C25" s="29"/>
      <c r="D25" s="30"/>
      <c r="E25" s="29"/>
      <c r="G25" s="31"/>
      <c r="H25" s="31"/>
      <c r="I25" s="49"/>
      <c r="J25" s="49"/>
      <c r="K25" s="105"/>
      <c r="L25" s="49"/>
      <c r="M25" s="50"/>
      <c r="N25" s="31"/>
      <c r="O25" s="79" t="str">
        <f>"Valor "&amp;AA3&amp;" (controverso):"</f>
        <v>Valor executado (controverso):</v>
      </c>
      <c r="P25" s="73">
        <f>E20</f>
        <v>0</v>
      </c>
      <c r="Q25" s="29"/>
      <c r="R25" s="29"/>
      <c r="S25" s="29"/>
      <c r="T25" s="29"/>
      <c r="U25" s="29"/>
      <c r="V25" s="29"/>
      <c r="W25" s="30"/>
      <c r="X25" s="82" t="e">
        <f>#REF!-#REF!</f>
        <v>#REF!</v>
      </c>
      <c r="Y25" s="16"/>
    </row>
    <row r="26" spans="1:29">
      <c r="A26" s="92"/>
      <c r="B26" s="28"/>
      <c r="C26" s="29"/>
      <c r="D26" s="30"/>
      <c r="E26" s="29"/>
      <c r="G26" s="31"/>
      <c r="H26" s="31"/>
      <c r="I26" s="49"/>
      <c r="J26" s="49"/>
      <c r="K26" s="105"/>
      <c r="L26" s="49"/>
      <c r="M26" s="50"/>
      <c r="N26" s="31"/>
      <c r="O26" s="112" t="str">
        <f>"Excesso de "&amp;AB3&amp;":"</f>
        <v>Excesso de execução:</v>
      </c>
      <c r="P26" s="113">
        <f>ABS(P24-P25)</f>
        <v>0</v>
      </c>
      <c r="Q26" s="29"/>
      <c r="R26" s="29"/>
      <c r="S26" s="29"/>
      <c r="T26" s="29"/>
      <c r="U26" s="29"/>
      <c r="V26" s="29"/>
      <c r="W26" s="30"/>
      <c r="X26" s="82" t="e">
        <f>#REF!-#REF!</f>
        <v>#REF!</v>
      </c>
      <c r="Y26" s="16"/>
    </row>
    <row r="27" spans="1:29">
      <c r="A27" s="92"/>
      <c r="B27" s="28"/>
      <c r="C27" s="29"/>
      <c r="D27" s="30"/>
      <c r="E27" s="29"/>
      <c r="G27" s="31"/>
      <c r="H27" s="31"/>
      <c r="I27" s="49"/>
      <c r="J27" s="49"/>
      <c r="K27" s="105"/>
      <c r="L27" s="49"/>
      <c r="M27" s="50"/>
      <c r="N27" s="31"/>
      <c r="O27" s="44" t="s">
        <v>60</v>
      </c>
      <c r="P27" s="30"/>
      <c r="Q27" s="29"/>
      <c r="R27" s="29"/>
      <c r="S27" s="29"/>
      <c r="T27" s="29"/>
      <c r="U27" s="29"/>
      <c r="V27" s="29"/>
      <c r="W27" s="30"/>
      <c r="X27" s="82" t="e">
        <f>#REF!-#REF!</f>
        <v>#REF!</v>
      </c>
      <c r="Y27" s="16"/>
    </row>
    <row r="28" spans="1:29">
      <c r="X28" s="82" t="e">
        <f>#REF!-#REF!</f>
        <v>#REF!</v>
      </c>
      <c r="Y28" s="16"/>
    </row>
    <row r="29" spans="1:29">
      <c r="B29" s="114" t="s">
        <v>61</v>
      </c>
      <c r="C29" s="115"/>
      <c r="D29" s="115"/>
      <c r="E29" s="116">
        <f>E20</f>
        <v>0</v>
      </c>
      <c r="O29" s="117" t="s">
        <v>62</v>
      </c>
      <c r="P29" s="117"/>
      <c r="Q29" s="117"/>
      <c r="R29" s="115">
        <f>R20</f>
        <v>0</v>
      </c>
      <c r="X29" s="82" t="e">
        <f>#REF!-#REF!</f>
        <v>#REF!</v>
      </c>
      <c r="Y29" s="16"/>
    </row>
    <row r="30" spans="1:29">
      <c r="B30" s="114" t="s">
        <v>63</v>
      </c>
      <c r="C30" s="115"/>
      <c r="D30" s="115"/>
      <c r="E30" s="118"/>
      <c r="O30" s="114" t="s">
        <v>63</v>
      </c>
      <c r="P30" s="117"/>
      <c r="Q30" s="117"/>
      <c r="R30" s="117">
        <f>G30</f>
        <v>0</v>
      </c>
      <c r="X30" s="82" t="e">
        <f>#REF!-#REF!</f>
        <v>#REF!</v>
      </c>
      <c r="Y30" s="16"/>
    </row>
    <row r="31" spans="1:29">
      <c r="B31" s="114" t="s">
        <v>65</v>
      </c>
      <c r="C31" s="115"/>
      <c r="D31" s="115"/>
      <c r="E31" s="116">
        <f>E32-E29</f>
        <v>0</v>
      </c>
      <c r="O31" s="114" t="s">
        <v>65</v>
      </c>
      <c r="P31" s="117"/>
      <c r="Q31" s="117"/>
      <c r="R31" s="115">
        <f>R32-R29</f>
        <v>0</v>
      </c>
      <c r="X31" s="82" t="e">
        <f>#REF!-#REF!</f>
        <v>#REF!</v>
      </c>
      <c r="Y31" s="16"/>
    </row>
    <row r="32" spans="1:29">
      <c r="B32" s="114" t="s">
        <v>66</v>
      </c>
      <c r="C32" s="115"/>
      <c r="D32" s="115"/>
      <c r="E32" s="116">
        <f>E29*E30</f>
        <v>0</v>
      </c>
      <c r="O32" s="114" t="s">
        <v>67</v>
      </c>
      <c r="P32" s="117"/>
      <c r="Q32" s="117"/>
      <c r="R32" s="115">
        <f>R29*R30</f>
        <v>0</v>
      </c>
      <c r="X32" s="82" t="e">
        <f>#REF!-#REF!</f>
        <v>#REF!</v>
      </c>
      <c r="Y32" s="16"/>
    </row>
    <row r="33" spans="15:25">
      <c r="O33" s="120"/>
      <c r="P33" s="120"/>
      <c r="Q33" s="120"/>
      <c r="R33" s="121"/>
      <c r="X33" s="82" t="e">
        <f>#REF!-#REF!</f>
        <v>#REF!</v>
      </c>
      <c r="Y33" s="16"/>
    </row>
    <row r="34" spans="15:25">
      <c r="O34" s="123" t="s">
        <v>71</v>
      </c>
      <c r="P34" s="123"/>
      <c r="Q34" s="123"/>
      <c r="R34" s="124">
        <f>ABS(E32-R32)</f>
        <v>0</v>
      </c>
      <c r="X34" s="82" t="e">
        <f>#REF!-#REF!</f>
        <v>#REF!</v>
      </c>
      <c r="Y34" s="16"/>
    </row>
    <row r="35" spans="15:25">
      <c r="O35" s="125" t="s">
        <v>60</v>
      </c>
      <c r="P35" s="117"/>
      <c r="Q35" s="117"/>
      <c r="R35" s="115"/>
      <c r="X35" s="82" t="e">
        <f>#REF!-#REF!</f>
        <v>#REF!</v>
      </c>
      <c r="Y35" s="16"/>
    </row>
    <row r="36" spans="15:25">
      <c r="X36" s="82" t="e">
        <f>#REF!-#REF!</f>
        <v>#REF!</v>
      </c>
      <c r="Y36" s="16"/>
    </row>
    <row r="37" spans="15:25">
      <c r="O37" s="126" t="str">
        <f>"Excesso utilizado na operação nº xxxx - Anexo "</f>
        <v xml:space="preserve">Excesso utilizado na operação nº xxxx - Anexo </v>
      </c>
      <c r="X37" s="82" t="e">
        <f>#REF!-#REF!</f>
        <v>#REF!</v>
      </c>
      <c r="Y37" s="16"/>
    </row>
    <row r="38" spans="15:25">
      <c r="X38" s="82" t="e">
        <f>#REF!-#REF!</f>
        <v>#REF!</v>
      </c>
      <c r="Y38" s="16"/>
    </row>
    <row r="39" spans="15:25">
      <c r="X39" s="82" t="e">
        <f>#REF!-#REF!</f>
        <v>#REF!</v>
      </c>
      <c r="Y39" s="16"/>
    </row>
    <row r="40" spans="15:25">
      <c r="X40" s="82" t="e">
        <f>#REF!-#REF!</f>
        <v>#REF!</v>
      </c>
      <c r="Y40" s="16"/>
    </row>
    <row r="41" spans="15:25">
      <c r="X41" s="82" t="e">
        <f>#REF!-#REF!</f>
        <v>#REF!</v>
      </c>
      <c r="Y41" s="16"/>
    </row>
    <row r="42" spans="15:25">
      <c r="X42" s="82" t="e">
        <f>#REF!-#REF!</f>
        <v>#REF!</v>
      </c>
      <c r="Y42" s="16"/>
    </row>
    <row r="43" spans="15:25">
      <c r="X43" s="82" t="e">
        <f>#REF!-#REF!</f>
        <v>#REF!</v>
      </c>
      <c r="Y43" s="16"/>
    </row>
    <row r="44" spans="15:25">
      <c r="X44" s="82" t="e">
        <f>#REF!-#REF!</f>
        <v>#REF!</v>
      </c>
      <c r="Y44" s="16"/>
    </row>
    <row r="45" spans="15:25">
      <c r="X45" s="82" t="e">
        <f>#REF!-#REF!</f>
        <v>#REF!</v>
      </c>
      <c r="Y45" s="16"/>
    </row>
    <row r="46" spans="15:25">
      <c r="X46" s="82" t="e">
        <f>#REF!-#REF!</f>
        <v>#REF!</v>
      </c>
      <c r="Y46" s="16"/>
    </row>
    <row r="47" spans="15:25">
      <c r="X47" s="82" t="e">
        <f>#REF!-#REF!</f>
        <v>#REF!</v>
      </c>
      <c r="Y47" s="16"/>
    </row>
    <row r="48" spans="15:25">
      <c r="X48" s="82" t="e">
        <f>#REF!-#REF!</f>
        <v>#REF!</v>
      </c>
      <c r="Y48" s="16"/>
    </row>
    <row r="49" spans="24:25">
      <c r="X49" s="82" t="e">
        <f>#REF!-#REF!</f>
        <v>#REF!</v>
      </c>
      <c r="Y49" s="16"/>
    </row>
    <row r="50" spans="24:25">
      <c r="X50" s="82" t="e">
        <f>#REF!-#REF!</f>
        <v>#REF!</v>
      </c>
      <c r="Y50" s="16"/>
    </row>
    <row r="51" spans="24:25">
      <c r="X51" s="82">
        <f t="shared" ref="X51:X57" si="1">V13-Q13</f>
        <v>0</v>
      </c>
      <c r="Y51" s="16"/>
    </row>
    <row r="52" spans="24:25">
      <c r="X52" s="82">
        <f t="shared" si="1"/>
        <v>0</v>
      </c>
      <c r="Y52" s="16"/>
    </row>
    <row r="53" spans="24:25">
      <c r="X53" s="82">
        <f t="shared" si="1"/>
        <v>0</v>
      </c>
      <c r="Y53" s="16"/>
    </row>
    <row r="54" spans="24:25">
      <c r="X54" s="82">
        <f t="shared" si="1"/>
        <v>0</v>
      </c>
      <c r="Y54" s="16"/>
    </row>
    <row r="55" spans="24:25">
      <c r="X55" s="82">
        <f t="shared" si="1"/>
        <v>0</v>
      </c>
      <c r="Y55" s="16"/>
    </row>
    <row r="56" spans="24:25">
      <c r="X56" s="82">
        <f t="shared" si="1"/>
        <v>0</v>
      </c>
      <c r="Y56" s="16"/>
    </row>
    <row r="57" spans="24:25">
      <c r="X57" s="82">
        <f t="shared" si="1"/>
        <v>0</v>
      </c>
      <c r="Y57" s="16"/>
    </row>
    <row r="58" spans="24:25">
      <c r="X58" s="25" t="e">
        <f>SUM(X13:X57)</f>
        <v>#REF!</v>
      </c>
    </row>
    <row r="60" spans="24:25" ht="13.5" hidden="1" customHeight="1"/>
    <row r="61" spans="24:25" ht="13.5" hidden="1" customHeight="1"/>
    <row r="68" spans="25:26">
      <c r="Y68" s="119" t="s">
        <v>64</v>
      </c>
      <c r="Z68" s="119"/>
    </row>
    <row r="69" spans="25:26">
      <c r="Y69" s="119"/>
      <c r="Z69" s="119"/>
    </row>
    <row r="70" spans="25:26">
      <c r="Y70" s="119" t="s">
        <v>68</v>
      </c>
      <c r="Z70" s="119" t="s">
        <v>69</v>
      </c>
    </row>
    <row r="71" spans="25:26">
      <c r="Y71" s="119" t="s">
        <v>70</v>
      </c>
      <c r="Z71" s="122" t="str">
        <f>A1</f>
        <v>Recálculo da operação nº 409.906.274 - Capitalização Afastada</v>
      </c>
    </row>
  </sheetData>
  <autoFilter ref="A12:W20" xr:uid="{00000000-0009-0000-0000-000001000000}"/>
  <mergeCells count="2">
    <mergeCell ref="A11:E11"/>
    <mergeCell ref="G11:W11"/>
  </mergeCells>
  <printOptions horizontalCentered="1"/>
  <pageMargins left="0.23611111111111099" right="0.23611111111111099" top="0.74861111111111101" bottom="0.74861111111111101" header="0.31527777777777799" footer="0.31527777777777799"/>
  <pageSetup paperSize="9" scale="51" firstPageNumber="0" fitToHeight="0" orientation="landscape" horizontalDpi="300" verticalDpi="300" r:id="rId1"/>
  <headerFooter>
    <oddHeader>&amp;C&amp;"Arial Narrow,Normal"&amp;A</oddHeader>
    <oddFooter>&amp;C&amp;"Kabel,Regular"Valor Efetivo
Cálculos Judiciais&amp;R&amp;"Arial Narrow,Normal"&amp;9&amp;A
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</vt:lpstr>
      <vt:lpstr>ANEXO 2</vt:lpstr>
      <vt:lpstr>'ANEXO 2'!Area_de_impressao</vt:lpstr>
      <vt:lpstr>'ANEXO 2'!Titulos_de_impressao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MagnoLeticia</dc:creator>
  <dc:description/>
  <cp:lastModifiedBy>Auxiliar 06 Valor Efetivo</cp:lastModifiedBy>
  <cp:revision>2</cp:revision>
  <cp:lastPrinted>2025-01-28T18:49:25Z</cp:lastPrinted>
  <dcterms:created xsi:type="dcterms:W3CDTF">2020-09-22T14:35:18Z</dcterms:created>
  <dcterms:modified xsi:type="dcterms:W3CDTF">2026-06-10T18:41:21Z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