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" sheetId="1" state="visible" r:id="rId2"/>
    <sheet name="ANEXO 2" sheetId="2" state="visible" r:id="rId3"/>
  </sheets>
  <definedNames>
    <definedName function="false" hidden="false" localSheetId="1" name="_xlnm.Print_Area" vbProcedure="false">'ANEXO 2'!$A$1:$W$65</definedName>
    <definedName function="false" hidden="false" localSheetId="1" name="_xlnm.Print_Titles" vbProcedure="false">'ANEXO 2'!$1:$12</definedName>
    <definedName function="false" hidden="true" localSheetId="1" name="_xlnm._FilterDatabase" vbProcedure="false">'ANEXO 2'!$A$12:$W$58</definedName>
    <definedName function="false" hidden="false" name="Anexo3" vbProcedure="false">#REF!</definedName>
    <definedName function="false" hidden="false" name="Anexo3aa" vbProcedure="false">#REF!</definedName>
    <definedName function="false" hidden="false" name="Anexo4" vbProcedure="false">#REF!</definedName>
    <definedName function="false" hidden="false" name="anexo5" vbProcedure="false">#REF!</definedName>
    <definedName function="false" hidden="false" name="Anexo6" vbProcedure="false">#REF!</definedName>
    <definedName function="false" hidden="false" name="equipe" vbProcedure="false">#REF!</definedName>
    <definedName function="false" hidden="false" name="Formatação" vbProcedure="false">#REF!</definedName>
    <definedName function="false" hidden="false" name="IGPDI" vbProcedure="false">#REF!</definedName>
    <definedName function="false" hidden="false" name="IGPDI0" vbProcedure="false">#REF!</definedName>
    <definedName function="false" hidden="false" name="IGPM" vbProcedure="false">#REF!</definedName>
    <definedName function="false" hidden="false" name="IGPM0" vbProcedure="false">#REF!</definedName>
    <definedName function="false" hidden="false" name="ind" vbProcedure="false">#REF!</definedName>
    <definedName function="false" hidden="false" name="INPC" vbProcedure="false">#REF!</definedName>
    <definedName function="false" hidden="false" name="INPC0" vbProcedure="false">#REF!</definedName>
    <definedName function="false" hidden="false" name="mf" vbProcedure="false">#REF!</definedName>
    <definedName function="false" hidden="false" name="Média" vbProcedure="false">#REF!</definedName>
    <definedName function="false" hidden="false" name="Média0" vbProcedure="false">#REF!</definedName>
    <definedName function="false" hidden="false" name="Média001" vbProcedure="false">#REF!</definedName>
    <definedName function="false" hidden="false" name="Seleção" vbProcedure="false">#REF!</definedName>
    <definedName function="false" hidden="false" name="tabic" vbProcedure="false">#REF!</definedName>
    <definedName function="false" hidden="false" name="tabicss" vbProcedure="false">#REF!</definedName>
    <definedName function="false" hidden="false" name="TABMM" vbProcedure="false">#REF!</definedName>
    <definedName function="false" hidden="false" name="TABMM2" vbProcedure="false">#REF!</definedName>
    <definedName function="false" hidden="false" name="TABMM24" vbProcedure="false">#REF!</definedName>
    <definedName function="false" hidden="false" name="TABMM3" vbProcedure="false">#REF!</definedName>
    <definedName function="false" hidden="false" name="TABMM4" vbProcedure="false">#REF!</definedName>
    <definedName function="false" hidden="false" name="TMM" vbProcedure="false">#REF!</definedName>
    <definedName function="false" hidden="false" name="ultima" vbProcedure="false">#REF!</definedName>
    <definedName function="false" hidden="false" localSheetId="1" name="Anexo3" vbProcedure="false">#REF!</definedName>
    <definedName function="false" hidden="false" localSheetId="1" name="Anexo4" vbProcedure="false">#REF!</definedName>
    <definedName function="false" hidden="false" localSheetId="1" name="anexo5" vbProcedure="false">#REF!</definedName>
    <definedName function="false" hidden="false" localSheetId="1" name="Anexo6" vbProcedure="false">#REF!</definedName>
    <definedName function="false" hidden="false" localSheetId="1" name="equipe" vbProcedure="false">#REF!</definedName>
    <definedName function="false" hidden="false" localSheetId="1" name="Formatação" vbProcedure="false">#REF!</definedName>
    <definedName function="false" hidden="false" localSheetId="1" name="tabic" vbProcedure="false">#REF!</definedName>
    <definedName function="false" hidden="false" localSheetId="1" name="TABMM" vbProcedure="false">#REF!</definedName>
    <definedName function="false" hidden="false" localSheetId="1" name="TMM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<sst xmlns="http://schemas.openxmlformats.org/spreadsheetml/2006/main" count="86" uniqueCount="72">
  <si>
    <t xml:space="preserve"> Data</t>
  </si>
  <si>
    <t xml:space="preserve">Histórico</t>
  </si>
  <si>
    <t xml:space="preserve">Débito</t>
  </si>
  <si>
    <t xml:space="preserve">Subtotal</t>
  </si>
  <si>
    <t xml:space="preserve">ESTUDO DA OPERACAO</t>
  </si>
  <si>
    <t xml:space="preserve">SEGURO PENHOR RURAL</t>
  </si>
  <si>
    <t xml:space="preserve">Total</t>
  </si>
  <si>
    <t xml:space="preserve">Operação:</t>
  </si>
  <si>
    <t xml:space="preserve">409.906.274</t>
  </si>
  <si>
    <t xml:space="preserve">Semestral</t>
  </si>
  <si>
    <t xml:space="preserve">no vencimento da parcela</t>
  </si>
  <si>
    <t xml:space="preserve">Afastada</t>
  </si>
  <si>
    <t xml:space="preserve">Mensal</t>
  </si>
  <si>
    <t xml:space="preserve">Informações contratuais</t>
  </si>
  <si>
    <t xml:space="preserve">Informações do Recálculo </t>
  </si>
  <si>
    <t xml:space="preserve">Cap. a aplicar:</t>
  </si>
  <si>
    <t xml:space="preserve">Aplicação da capitalização semestral dos juros remuneratórios de normalidade</t>
  </si>
  <si>
    <t xml:space="preserve">Aplicação da capitalização dos juros remuneratórios de normalidade no vencimento das parcelas</t>
  </si>
  <si>
    <t xml:space="preserve">Afastamento da capitalização de juros remuneratórios de normalidade</t>
  </si>
  <si>
    <t xml:space="preserve">Aplicação da capitalização mensal dos juros remuneratórios de normalidade</t>
  </si>
  <si>
    <t xml:space="preserve">Valor Liberado:</t>
  </si>
  <si>
    <t xml:space="preserve">Dias Corridos</t>
  </si>
  <si>
    <t xml:space="preserve">Execução</t>
  </si>
  <si>
    <t xml:space="preserve">Valor IOF:</t>
  </si>
  <si>
    <t xml:space="preserve">Taxa de juros:</t>
  </si>
  <si>
    <t xml:space="preserve"> a.a.</t>
  </si>
  <si>
    <t xml:space="preserve">Estorno da cobrança de Tarifa de Estudo de Operações e Seguro Penhor</t>
  </si>
  <si>
    <t xml:space="preserve">Capitaliz. Jur.:</t>
  </si>
  <si>
    <t xml:space="preserve">Não pactuada</t>
  </si>
  <si>
    <t xml:space="preserve">a.m.</t>
  </si>
  <si>
    <t xml:space="preserve">Descaracterização da mora</t>
  </si>
  <si>
    <t xml:space="preserve">Seguro penhor:</t>
  </si>
  <si>
    <t xml:space="preserve">Tarifa:</t>
  </si>
  <si>
    <t xml:space="preserve">Seguro de vida:</t>
  </si>
  <si>
    <t xml:space="preserve">Seguro agrícola:</t>
  </si>
  <si>
    <t xml:space="preserve">COLUNAS CONFORME EXTRATOS</t>
  </si>
  <si>
    <t xml:space="preserve">COLUNAS ELABORADAS PELO ASSISTENTE TÉCNICO</t>
  </si>
  <si>
    <t xml:space="preserve">Crédito</t>
  </si>
  <si>
    <t xml:space="preserve">Saldo</t>
  </si>
  <si>
    <t xml:space="preserve">Dias</t>
  </si>
  <si>
    <t xml:space="preserve">Dias Acum</t>
  </si>
  <si>
    <t xml:space="preserve">SN*D</t>
  </si>
  <si>
    <t xml:space="preserve">SNA</t>
  </si>
  <si>
    <t xml:space="preserve">SNM</t>
  </si>
  <si>
    <t xml:space="preserve">Juros</t>
  </si>
  <si>
    <t xml:space="preserve">Tx Mensal
Banco</t>
  </si>
  <si>
    <t xml:space="preserve">Tx Mensal
Média Merc</t>
  </si>
  <si>
    <t xml:space="preserve">Juros 
Recalculados</t>
  </si>
  <si>
    <t xml:space="preserve">Juros Recalc
Acumulados</t>
  </si>
  <si>
    <t xml:space="preserve">JUROS RECALCULADOS SEM CAPITALIZAÇÃO</t>
  </si>
  <si>
    <t xml:space="preserve">JUROS RECALCULADOS E CAPITALIZADOS</t>
  </si>
  <si>
    <t xml:space="preserve">JUROS RECALC. S/ CAP. E CAP. AO FIM DO PERÍODO DE NORMALIDADE</t>
  </si>
  <si>
    <t xml:space="preserve">JUROS RECALC. S/ CAP. E CAP. SEMESTRALMENTE</t>
  </si>
  <si>
    <t xml:space="preserve">JUROS RECALC. S/ CAP. E CAP. NO VENCIMENTO DA PARCELA</t>
  </si>
  <si>
    <t xml:space="preserve">MORA RECALCULADA E CAPITALIZADA</t>
  </si>
  <si>
    <t xml:space="preserve">DESCARACTERIZAÇÃO DA MORA</t>
  </si>
  <si>
    <t xml:space="preserve">Saldo final conforme extratos</t>
  </si>
  <si>
    <t xml:space="preserve">Saldo final recalculado</t>
  </si>
  <si>
    <t xml:space="preserve">Diferença entre saldos</t>
  </si>
  <si>
    <t xml:space="preserve">Valor apurado (incontroverso):</t>
  </si>
  <si>
    <t xml:space="preserve">Proveito econômico pretendido.</t>
  </si>
  <si>
    <t xml:space="preserve">Valor conf. instituição financeira:</t>
  </si>
  <si>
    <t xml:space="preserve">Valor apurado: </t>
  </si>
  <si>
    <t xml:space="preserve">Fator de correção: </t>
  </si>
  <si>
    <t xml:space="preserve">RELAÇÃO DE ANEXOS</t>
  </si>
  <si>
    <t xml:space="preserve">Correção monetária: </t>
  </si>
  <si>
    <t xml:space="preserve">Valor atualizado (controverso):</t>
  </si>
  <si>
    <t xml:space="preserve">Valor atualizado (incontroverso):</t>
  </si>
  <si>
    <t xml:space="preserve">ANEXO 1</t>
  </si>
  <si>
    <t xml:space="preserve">Certidão CORECON/PR</t>
  </si>
  <si>
    <t xml:space="preserve">ANEXO 2</t>
  </si>
  <si>
    <t xml:space="preserve">Excesso apurado: 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</si>
</sst>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&quot;R$ &quot;* #,##0.00_-;&quot;-R$ &quot;* #,##0.00_-;_-&quot;R$ &quot;* \-??_-;_-@_-"/>
    <numFmt numFmtId="166" formatCode="0%"/>
    <numFmt numFmtId="167" formatCode="_-* #,##0.00_-;\-* #,##0.00_-;_-* \-??_-;_-@_-"/>
    <numFmt numFmtId="168" formatCode="[$-416]D/M/YYYY"/>
    <numFmt numFmtId="169" formatCode="#,##0.00"/>
    <numFmt numFmtId="170" formatCode="0.00%"/>
    <numFmt numFmtId="171" formatCode="#,##0"/>
    <numFmt numFmtId="172" formatCode="0.000%"/>
    <numFmt numFmtId="173" formatCode="&quot;R$ &quot;#,##0.00;[RED]&quot;-R$ &quot;#,##0.00"/>
    <numFmt numFmtId="174" formatCode="General"/>
    <numFmt numFmtId="175" formatCode="#,##0.00000000"/>
    <numFmt numFmtId="176" formatCode="&quot;R$ &quot;#,##0.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 Narrow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1.5"/>
      <name val="Gadugi"/>
      <family val="2"/>
      <charset val="1"/>
    </font>
    <font>
      <b val="true"/>
      <sz val="11.5"/>
      <color rgb="FF000000"/>
      <name val="Gadugi"/>
      <family val="2"/>
      <charset val="1"/>
    </font>
    <font>
      <sz val="11.5"/>
      <name val="Gadugi"/>
      <family val="2"/>
      <charset val="1"/>
    </font>
    <font>
      <sz val="9"/>
      <name val="Arial Narrow"/>
      <family val="2"/>
      <charset val="1"/>
    </font>
    <font>
      <sz val="12"/>
      <name val="Kabel Bk BT"/>
      <family val="2"/>
      <charset val="1"/>
    </font>
    <font>
      <b val="true"/>
      <sz val="9"/>
      <name val="Arial Narrow"/>
      <family val="2"/>
      <charset val="1"/>
    </font>
    <font>
      <u val="single"/>
      <sz val="9"/>
      <name val="Arial Narrow"/>
      <family val="2"/>
      <charset val="1"/>
    </font>
    <font>
      <i val="true"/>
      <sz val="9"/>
      <name val="Arial Narrow"/>
      <family val="2"/>
      <charset val="1"/>
    </font>
    <font>
      <b val="true"/>
      <u val="single"/>
      <sz val="9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E2F0D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5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2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1" fillId="2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2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5" fillId="2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2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2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2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2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1" fillId="2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1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5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5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2" borderId="5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5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2" borderId="5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5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5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2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2" borderId="3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2" borderId="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2" borderId="3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5" fillId="0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0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2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2" borderId="7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2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2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24" applyFont="true" applyBorder="true" applyAlignment="true" applyProtection="false">
      <alignment horizontal="right" vertical="bottom" textRotation="0" wrapText="false" indent="12" shrinkToFit="false"/>
      <protection locked="true" hidden="false"/>
    </xf>
    <xf numFmtId="169" fontId="11" fillId="2" borderId="3" xfId="24" applyFont="true" applyBorder="true" applyAlignment="true" applyProtection="false">
      <alignment horizontal="right" vertical="bottom" textRotation="0" wrapText="false" indent="12" shrinkToFit="false"/>
      <protection locked="true" hidden="false"/>
    </xf>
    <xf numFmtId="169" fontId="11" fillId="2" borderId="3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3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3" borderId="3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2" borderId="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3" borderId="3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4" borderId="3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6" fillId="4" borderId="3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8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5" fillId="2" borderId="9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9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2" borderId="7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1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2" borderId="6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2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6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1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2" borderId="12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2" borderId="0" xfId="24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2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5" fillId="2" borderId="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2" borderId="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6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5" fillId="2" borderId="6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1" fillId="2" borderId="6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6" fillId="2" borderId="6" xfId="2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2" borderId="6" xfId="4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2" borderId="6" xfId="4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2" borderId="6" xfId="4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2" borderId="6" xfId="4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1" fillId="2" borderId="6" xfId="4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2" borderId="0" xfId="4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1" fillId="2" borderId="0" xfId="4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2" borderId="6" xfId="4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6" fillId="2" borderId="6" xfId="4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5" fillId="2" borderId="6" xfId="4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5" fillId="2" borderId="0" xfId="43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4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Moeda 3" xfId="21"/>
    <cellStyle name="Normal 2" xfId="22"/>
    <cellStyle name="Normal 2 2" xfId="23"/>
    <cellStyle name="Normal 2 3" xfId="24"/>
    <cellStyle name="Normal 2 3 2" xfId="25"/>
    <cellStyle name="Normal 2 3 3" xfId="26"/>
    <cellStyle name="Normal 2 5 3" xfId="27"/>
    <cellStyle name="Normal 2 6" xfId="28"/>
    <cellStyle name="Normal 2 7" xfId="29"/>
    <cellStyle name="Normal 3" xfId="30"/>
    <cellStyle name="Normal 3 2 2" xfId="31"/>
    <cellStyle name="Normal 3 2 3" xfId="32"/>
    <cellStyle name="Normal 3 3 2 2" xfId="33"/>
    <cellStyle name="Normal 3 3 2 2 3" xfId="34"/>
    <cellStyle name="Normal 3 3 2 3" xfId="35"/>
    <cellStyle name="Normal 3 4" xfId="36"/>
    <cellStyle name="Normal 3 4 2" xfId="37"/>
    <cellStyle name="Normal 4" xfId="38"/>
    <cellStyle name="Normal 4 2" xfId="39"/>
    <cellStyle name="Normal 4 4" xfId="40"/>
    <cellStyle name="Normal 5" xfId="41"/>
    <cellStyle name="Normal 6" xfId="42"/>
    <cellStyle name="Normal 6 2" xfId="43"/>
    <cellStyle name="Normal 7" xfId="44"/>
    <cellStyle name="Normal 7 2" xfId="45"/>
    <cellStyle name="Normal 8" xfId="46"/>
    <cellStyle name="Normal 8 2" xfId="47"/>
    <cellStyle name="Porcentagem 2" xfId="48"/>
    <cellStyle name="Porcentagem 2 2" xfId="49"/>
    <cellStyle name="Porcentagem 2 3" xfId="50"/>
    <cellStyle name="Porcentagem 3" xfId="51"/>
    <cellStyle name="Porcentagem 3 2" xfId="52"/>
    <cellStyle name="Porcentagem 3 3" xfId="53"/>
    <cellStyle name="Porcentagem 3 4" xfId="54"/>
    <cellStyle name="Porcentagem 4" xfId="55"/>
    <cellStyle name="Vírgula 2" xfId="56"/>
    <cellStyle name="Vírgula 2 2" xfId="57"/>
    <cellStyle name="Vírgula 2 3" xfId="5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00"/>
    <pageSetUpPr fitToPage="false"/>
  </sheetPr>
  <dimension ref="F9:I1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F9" activeCellId="1" sqref="20:57 F9"/>
    </sheetView>
  </sheetViews>
  <sheetFormatPr defaultColWidth="8.6953125" defaultRowHeight="15" zeroHeight="false" outlineLevelRow="0" outlineLevelCol="0"/>
  <cols>
    <col collapsed="false" customWidth="true" hidden="false" outlineLevel="0" max="6" min="6" style="0" width="11.86"/>
    <col collapsed="false" customWidth="true" hidden="false" outlineLevel="0" max="7" min="7" style="0" width="25.29"/>
    <col collapsed="false" customWidth="true" hidden="false" outlineLevel="0" max="9" min="9" style="0" width="11.86"/>
  </cols>
  <sheetData>
    <row r="9" customFormat="false" ht="15.75" hidden="false" customHeight="false" outlineLevel="0" collapsed="false">
      <c r="F9" s="1" t="s">
        <v>0</v>
      </c>
      <c r="G9" s="2" t="s">
        <v>1</v>
      </c>
      <c r="H9" s="3" t="s">
        <v>2</v>
      </c>
      <c r="I9" s="4" t="s">
        <v>3</v>
      </c>
    </row>
    <row r="10" customFormat="false" ht="15.75" hidden="false" customHeight="false" outlineLevel="0" collapsed="false">
      <c r="F10" s="5" t="n">
        <v>44739</v>
      </c>
      <c r="G10" s="6" t="s">
        <v>4</v>
      </c>
      <c r="H10" s="7" t="n">
        <v>1146.81</v>
      </c>
      <c r="I10" s="8" t="n">
        <f aca="false">H10</f>
        <v>1146.81</v>
      </c>
    </row>
    <row r="11" customFormat="false" ht="15" hidden="false" customHeight="false" outlineLevel="0" collapsed="false">
      <c r="F11" s="9" t="n">
        <v>44740</v>
      </c>
      <c r="G11" s="10" t="s">
        <v>5</v>
      </c>
      <c r="H11" s="11" t="n">
        <v>2162.03</v>
      </c>
      <c r="I11" s="12" t="n">
        <f aca="false">H11+H12</f>
        <v>4093.05</v>
      </c>
    </row>
    <row r="12" customFormat="false" ht="15" hidden="false" customHeight="false" outlineLevel="0" collapsed="false">
      <c r="F12" s="9" t="n">
        <v>45111</v>
      </c>
      <c r="G12" s="10" t="s">
        <v>5</v>
      </c>
      <c r="H12" s="11" t="n">
        <v>1931.02</v>
      </c>
      <c r="I12" s="12"/>
    </row>
    <row r="13" customFormat="false" ht="15.75" hidden="false" customHeight="false" outlineLevel="0" collapsed="false">
      <c r="F13" s="13" t="s">
        <v>6</v>
      </c>
      <c r="G13" s="13"/>
      <c r="H13" s="13"/>
      <c r="I13" s="14" t="n">
        <f aca="false">SUM(I10:I12)</f>
        <v>5239.86</v>
      </c>
    </row>
    <row r="14" customFormat="false" ht="15.75" hidden="false" customHeight="false" outlineLevel="0" collapsed="false"/>
  </sheetData>
  <mergeCells count="1">
    <mergeCell ref="I11:I12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92D050"/>
    <pageSetUpPr fitToPage="true"/>
  </sheetPr>
  <dimension ref="A1:AE75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20" activeCellId="0" sqref="20:57"/>
    </sheetView>
  </sheetViews>
  <sheetFormatPr defaultColWidth="9.1484375" defaultRowHeight="13.5" zeroHeight="false" outlineLevelRow="0" outlineLevelCol="0"/>
  <cols>
    <col collapsed="false" customWidth="true" hidden="false" outlineLevel="0" max="1" min="1" style="15" width="10.58"/>
    <col collapsed="false" customWidth="true" hidden="false" outlineLevel="0" max="2" min="2" style="16" width="20.3"/>
    <col collapsed="false" customWidth="true" hidden="false" outlineLevel="0" max="3" min="3" style="17" width="10.13"/>
    <col collapsed="false" customWidth="true" hidden="false" outlineLevel="0" max="4" min="4" style="18" width="10.42"/>
    <col collapsed="false" customWidth="true" hidden="false" outlineLevel="0" max="5" min="5" style="17" width="9.59"/>
    <col collapsed="false" customWidth="true" hidden="false" outlineLevel="0" max="6" min="6" style="19" width="1"/>
    <col collapsed="false" customWidth="true" hidden="false" outlineLevel="0" max="7" min="7" style="20" width="9"/>
    <col collapsed="false" customWidth="true" hidden="false" outlineLevel="0" max="8" min="8" style="20" width="12.86"/>
    <col collapsed="false" customWidth="true" hidden="false" outlineLevel="0" max="9" min="9" style="21" width="9.71"/>
    <col collapsed="false" customWidth="true" hidden="false" outlineLevel="0" max="10" min="10" style="21" width="8.29"/>
    <col collapsed="false" customWidth="true" hidden="false" outlineLevel="0" max="11" min="11" style="22" width="10.71"/>
    <col collapsed="false" customWidth="true" hidden="false" outlineLevel="0" max="12" min="12" style="21" width="10.71"/>
    <col collapsed="false" customWidth="true" hidden="false" outlineLevel="0" max="13" min="13" style="23" width="10.71"/>
    <col collapsed="false" customWidth="true" hidden="false" outlineLevel="0" max="14" min="14" style="20" width="10.71"/>
    <col collapsed="false" customWidth="true" hidden="false" outlineLevel="0" max="15" min="15" style="24" width="66.42"/>
    <col collapsed="false" customWidth="true" hidden="false" outlineLevel="0" max="16" min="16" style="18" width="10.71"/>
    <col collapsed="false" customWidth="true" hidden="false" outlineLevel="0" max="18" min="17" style="17" width="10.71"/>
    <col collapsed="false" customWidth="true" hidden="true" outlineLevel="0" max="20" min="19" style="17" width="10.71"/>
    <col collapsed="false" customWidth="true" hidden="false" outlineLevel="0" max="22" min="21" style="17" width="10.71"/>
    <col collapsed="false" customWidth="true" hidden="false" outlineLevel="0" max="23" min="23" style="18" width="10.71"/>
    <col collapsed="false" customWidth="true" hidden="false" outlineLevel="0" max="24" min="24" style="25" width="6.57"/>
    <col collapsed="false" customWidth="false" hidden="false" outlineLevel="0" max="1025" min="25" style="26" width="9.13"/>
  </cols>
  <sheetData>
    <row r="1" customFormat="false" ht="15" hidden="false" customHeight="false" outlineLevel="0" collapsed="false">
      <c r="A1" s="27" t="str">
        <f aca="false">"Recálculo da operação nº "&amp;AA1&amp;" - Capitalização "&amp;AA2</f>
        <v>Recálculo da operação nº 409.906.274 - Capitalização Afastada</v>
      </c>
      <c r="B1" s="28"/>
      <c r="C1" s="29"/>
      <c r="D1" s="30"/>
      <c r="E1" s="29"/>
      <c r="G1" s="31"/>
      <c r="H1" s="32"/>
      <c r="I1" s="29"/>
      <c r="J1" s="29"/>
      <c r="K1" s="30"/>
      <c r="L1" s="29"/>
      <c r="M1" s="33"/>
      <c r="N1" s="32"/>
      <c r="O1" s="34"/>
      <c r="P1" s="30"/>
      <c r="Q1" s="29"/>
      <c r="R1" s="29"/>
      <c r="S1" s="29"/>
      <c r="T1" s="29"/>
      <c r="U1" s="29"/>
      <c r="V1" s="29"/>
      <c r="W1" s="30"/>
      <c r="Y1" s="26" t="n">
        <f aca="false">_xlfn.SHEET()</f>
        <v>2</v>
      </c>
      <c r="Z1" s="26" t="s">
        <v>7</v>
      </c>
      <c r="AA1" s="35" t="s">
        <v>8</v>
      </c>
      <c r="AB1" s="26" t="s">
        <v>9</v>
      </c>
      <c r="AC1" s="26" t="s">
        <v>10</v>
      </c>
      <c r="AD1" s="26" t="s">
        <v>11</v>
      </c>
      <c r="AE1" s="26" t="s">
        <v>12</v>
      </c>
    </row>
    <row r="2" customFormat="false" ht="13.5" hidden="false" customHeight="false" outlineLevel="0" collapsed="false">
      <c r="A2" s="36" t="s">
        <v>13</v>
      </c>
      <c r="G2" s="31"/>
      <c r="H2" s="32"/>
      <c r="I2" s="29"/>
      <c r="J2" s="29"/>
      <c r="K2" s="37" t="s">
        <v>14</v>
      </c>
      <c r="L2" s="29"/>
      <c r="M2" s="33"/>
      <c r="N2" s="32"/>
      <c r="O2" s="38"/>
      <c r="P2" s="39"/>
      <c r="Q2" s="40"/>
      <c r="R2" s="40"/>
      <c r="S2" s="40"/>
      <c r="T2" s="40"/>
      <c r="U2" s="40"/>
      <c r="V2" s="29"/>
      <c r="W2" s="30"/>
      <c r="Z2" s="26" t="s">
        <v>15</v>
      </c>
      <c r="AA2" s="35" t="str">
        <f aca="false">AD1</f>
        <v>Afastada</v>
      </c>
      <c r="AB2" s="26" t="s">
        <v>16</v>
      </c>
      <c r="AC2" s="26" t="s">
        <v>17</v>
      </c>
      <c r="AD2" s="26" t="s">
        <v>18</v>
      </c>
      <c r="AE2" s="26" t="s">
        <v>19</v>
      </c>
    </row>
    <row r="3" customFormat="false" ht="13.5" hidden="false" customHeight="false" outlineLevel="0" collapsed="false">
      <c r="A3" s="41" t="s">
        <v>20</v>
      </c>
      <c r="B3" s="42" t="n">
        <f aca="false">SUMIF($B$13:$B$57,B13,$C$13:$C$57)</f>
        <v>0</v>
      </c>
      <c r="C3" s="41" t="s">
        <v>21</v>
      </c>
      <c r="G3" s="31"/>
      <c r="H3" s="32"/>
      <c r="I3" s="29"/>
      <c r="J3" s="29"/>
      <c r="K3" s="43" t="str">
        <f aca="false">HLOOKUP(AA2,$AB$1:$AE$2,2,)</f>
        <v>Afastamento da capitalização de juros remuneratórios de normalidade</v>
      </c>
      <c r="L3" s="29"/>
      <c r="M3" s="33"/>
      <c r="N3" s="32"/>
      <c r="O3" s="44"/>
      <c r="P3" s="45"/>
      <c r="Q3" s="46"/>
      <c r="R3" s="46"/>
      <c r="S3" s="46"/>
      <c r="T3" s="46"/>
      <c r="U3" s="46"/>
      <c r="V3" s="29"/>
      <c r="W3" s="30"/>
      <c r="Z3" s="35" t="s">
        <v>22</v>
      </c>
      <c r="AA3" s="26" t="str">
        <f aca="false">IF(Z3="Execução","executado","cobrado")</f>
        <v>executado</v>
      </c>
      <c r="AB3" s="26" t="str">
        <f aca="false">IF(Z3="execução","execução","cobrança")</f>
        <v>execução</v>
      </c>
    </row>
    <row r="4" customFormat="false" ht="13.5" hidden="false" customHeight="false" outlineLevel="0" collapsed="false">
      <c r="A4" s="41" t="s">
        <v>23</v>
      </c>
      <c r="B4" s="42" t="n">
        <f aca="false">SUMIF($B$13:$B$57,B15,$C$13:$C$57)</f>
        <v>0</v>
      </c>
      <c r="C4" s="42" t="s">
        <v>24</v>
      </c>
      <c r="D4" s="47" t="n">
        <v>0.055</v>
      </c>
      <c r="E4" s="48" t="s">
        <v>25</v>
      </c>
      <c r="G4" s="31"/>
      <c r="H4" s="31"/>
      <c r="I4" s="49"/>
      <c r="J4" s="49"/>
      <c r="K4" s="24" t="s">
        <v>26</v>
      </c>
      <c r="L4" s="49"/>
      <c r="M4" s="50"/>
      <c r="N4" s="31"/>
      <c r="O4" s="44"/>
      <c r="P4" s="45"/>
      <c r="Q4" s="46"/>
      <c r="R4" s="46"/>
      <c r="S4" s="46"/>
      <c r="T4" s="46"/>
      <c r="U4" s="46"/>
      <c r="V4" s="29"/>
      <c r="W4" s="30"/>
    </row>
    <row r="5" customFormat="false" ht="13.5" hidden="false" customHeight="false" outlineLevel="0" collapsed="false">
      <c r="A5" s="26" t="s">
        <v>27</v>
      </c>
      <c r="B5" s="42" t="s">
        <v>28</v>
      </c>
      <c r="D5" s="47" t="n">
        <f aca="false">(1+D4)^(1/12)-1</f>
        <v>0.00447169891704302</v>
      </c>
      <c r="E5" s="48" t="s">
        <v>29</v>
      </c>
      <c r="G5" s="31"/>
      <c r="H5" s="31"/>
      <c r="I5" s="49"/>
      <c r="J5" s="49"/>
      <c r="K5" s="41" t="s">
        <v>30</v>
      </c>
      <c r="L5" s="49"/>
      <c r="M5" s="50"/>
      <c r="N5" s="31"/>
      <c r="O5" s="34"/>
      <c r="P5" s="30"/>
      <c r="Q5" s="29"/>
      <c r="R5" s="29"/>
      <c r="S5" s="29"/>
      <c r="T5" s="29"/>
      <c r="U5" s="29"/>
      <c r="V5" s="29"/>
      <c r="W5" s="30"/>
    </row>
    <row r="6" customFormat="false" ht="13.5" hidden="false" customHeight="true" outlineLevel="0" collapsed="false">
      <c r="A6" s="41" t="s">
        <v>31</v>
      </c>
      <c r="B6" s="42" t="n">
        <f aca="false">SUMIF($B$13:$B$57,B18,$C$13:$C$57)</f>
        <v>0</v>
      </c>
      <c r="C6" s="41" t="s">
        <v>32</v>
      </c>
      <c r="D6" s="42" t="n">
        <f aca="false">SUMIF($B$13:$B$57,B14,$C$13:$C$57)</f>
        <v>0</v>
      </c>
      <c r="E6" s="48"/>
      <c r="K6" s="43"/>
    </row>
    <row r="7" customFormat="false" ht="13.5" hidden="true" customHeight="true" outlineLevel="0" collapsed="false">
      <c r="A7" s="41" t="s">
        <v>33</v>
      </c>
      <c r="B7" s="42" t="n">
        <v>0</v>
      </c>
      <c r="D7" s="47"/>
      <c r="E7" s="48"/>
      <c r="K7" s="43"/>
    </row>
    <row r="8" customFormat="false" ht="13.5" hidden="true" customHeight="true" outlineLevel="0" collapsed="false">
      <c r="A8" s="41" t="s">
        <v>34</v>
      </c>
      <c r="B8" s="42" t="n">
        <v>0</v>
      </c>
      <c r="D8" s="47"/>
      <c r="E8" s="48"/>
      <c r="K8" s="43"/>
    </row>
    <row r="9" customFormat="false" ht="13.5" hidden="true" customHeight="true" outlineLevel="0" collapsed="false">
      <c r="C9" s="26"/>
      <c r="D9" s="26"/>
      <c r="E9" s="26"/>
    </row>
    <row r="10" s="61" customFormat="true" ht="5.25" hidden="false" customHeight="true" outlineLevel="0" collapsed="false">
      <c r="A10" s="51"/>
      <c r="B10" s="52"/>
      <c r="C10" s="53"/>
      <c r="D10" s="54"/>
      <c r="E10" s="53"/>
      <c r="F10" s="19"/>
      <c r="G10" s="55"/>
      <c r="H10" s="55"/>
      <c r="I10" s="56"/>
      <c r="J10" s="56"/>
      <c r="K10" s="57"/>
      <c r="L10" s="56"/>
      <c r="M10" s="58"/>
      <c r="N10" s="55"/>
      <c r="O10" s="59"/>
      <c r="P10" s="54"/>
      <c r="Q10" s="53"/>
      <c r="R10" s="53"/>
      <c r="S10" s="53"/>
      <c r="T10" s="53"/>
      <c r="U10" s="53"/>
      <c r="V10" s="53"/>
      <c r="W10" s="54"/>
      <c r="X10" s="60"/>
    </row>
    <row r="11" customFormat="false" ht="13.5" hidden="false" customHeight="false" outlineLevel="0" collapsed="false">
      <c r="A11" s="62" t="s">
        <v>35</v>
      </c>
      <c r="B11" s="62"/>
      <c r="C11" s="62"/>
      <c r="D11" s="62"/>
      <c r="E11" s="62"/>
      <c r="F11" s="63"/>
      <c r="G11" s="64" t="s">
        <v>36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</row>
    <row r="12" s="71" customFormat="true" ht="27.75" hidden="false" customHeight="true" outlineLevel="0" collapsed="false">
      <c r="A12" s="65" t="s">
        <v>0</v>
      </c>
      <c r="B12" s="66" t="s">
        <v>1</v>
      </c>
      <c r="C12" s="67" t="s">
        <v>2</v>
      </c>
      <c r="D12" s="66" t="s">
        <v>37</v>
      </c>
      <c r="E12" s="67" t="s">
        <v>38</v>
      </c>
      <c r="F12" s="68"/>
      <c r="G12" s="66" t="s">
        <v>39</v>
      </c>
      <c r="H12" s="66" t="s">
        <v>40</v>
      </c>
      <c r="I12" s="67" t="s">
        <v>41</v>
      </c>
      <c r="J12" s="67" t="s">
        <v>42</v>
      </c>
      <c r="K12" s="66" t="s">
        <v>43</v>
      </c>
      <c r="L12" s="67" t="s">
        <v>44</v>
      </c>
      <c r="M12" s="69" t="s">
        <v>45</v>
      </c>
      <c r="N12" s="66" t="s">
        <v>46</v>
      </c>
      <c r="O12" s="66" t="s">
        <v>1</v>
      </c>
      <c r="P12" s="66" t="s">
        <v>2</v>
      </c>
      <c r="Q12" s="67" t="s">
        <v>37</v>
      </c>
      <c r="R12" s="67" t="s">
        <v>38</v>
      </c>
      <c r="S12" s="67" t="s">
        <v>41</v>
      </c>
      <c r="T12" s="67" t="s">
        <v>42</v>
      </c>
      <c r="U12" s="67" t="s">
        <v>43</v>
      </c>
      <c r="V12" s="67" t="s">
        <v>47</v>
      </c>
      <c r="W12" s="66" t="s">
        <v>48</v>
      </c>
      <c r="X12" s="70"/>
    </row>
    <row r="13" customFormat="false" ht="12.8" hidden="false" customHeight="false" outlineLevel="0" collapsed="false">
      <c r="A13" s="72"/>
      <c r="B13" s="73"/>
      <c r="C13" s="74"/>
      <c r="D13" s="74"/>
      <c r="E13" s="75"/>
      <c r="F13" s="76"/>
      <c r="G13" s="77"/>
      <c r="H13" s="77"/>
      <c r="I13" s="78"/>
      <c r="J13" s="78"/>
      <c r="K13" s="79"/>
      <c r="L13" s="79"/>
      <c r="M13" s="80"/>
      <c r="N13" s="81"/>
      <c r="O13" s="82"/>
      <c r="P13" s="83"/>
      <c r="Q13" s="84"/>
      <c r="R13" s="85"/>
      <c r="S13" s="86"/>
      <c r="T13" s="87"/>
      <c r="U13" s="85"/>
      <c r="V13" s="85"/>
      <c r="W13" s="75"/>
      <c r="X13" s="88" t="n">
        <f aca="false">V13-Q13</f>
        <v>0</v>
      </c>
      <c r="AC13" s="16" t="s">
        <v>49</v>
      </c>
    </row>
    <row r="14" customFormat="false" ht="12.8" hidden="false" customHeight="false" outlineLevel="0" collapsed="false">
      <c r="A14" s="72"/>
      <c r="B14" s="73"/>
      <c r="C14" s="74"/>
      <c r="D14" s="74"/>
      <c r="E14" s="75"/>
      <c r="F14" s="76"/>
      <c r="G14" s="89"/>
      <c r="H14" s="89"/>
      <c r="I14" s="90"/>
      <c r="J14" s="90"/>
      <c r="K14" s="79"/>
      <c r="L14" s="79"/>
      <c r="M14" s="80"/>
      <c r="N14" s="81"/>
      <c r="O14" s="91"/>
      <c r="P14" s="92"/>
      <c r="Q14" s="85"/>
      <c r="R14" s="85"/>
      <c r="S14" s="86"/>
      <c r="T14" s="93"/>
      <c r="U14" s="85"/>
      <c r="V14" s="85"/>
      <c r="W14" s="75"/>
      <c r="X14" s="88" t="n">
        <f aca="false">V14-Q14</f>
        <v>0</v>
      </c>
      <c r="AC14" s="26" t="s">
        <v>50</v>
      </c>
    </row>
    <row r="15" customFormat="false" ht="12.8" hidden="false" customHeight="false" outlineLevel="0" collapsed="false">
      <c r="A15" s="72"/>
      <c r="B15" s="73"/>
      <c r="C15" s="74"/>
      <c r="D15" s="74"/>
      <c r="E15" s="75"/>
      <c r="F15" s="76"/>
      <c r="G15" s="89"/>
      <c r="H15" s="89"/>
      <c r="I15" s="90"/>
      <c r="J15" s="90"/>
      <c r="K15" s="79"/>
      <c r="L15" s="79"/>
      <c r="M15" s="80"/>
      <c r="N15" s="81"/>
      <c r="O15" s="82"/>
      <c r="P15" s="92"/>
      <c r="Q15" s="85"/>
      <c r="R15" s="85"/>
      <c r="S15" s="86"/>
      <c r="T15" s="93"/>
      <c r="U15" s="85"/>
      <c r="V15" s="85"/>
      <c r="W15" s="75"/>
      <c r="X15" s="88" t="n">
        <f aca="false">V15-Q15</f>
        <v>0</v>
      </c>
      <c r="AC15" s="42" t="s">
        <v>51</v>
      </c>
    </row>
    <row r="16" customFormat="false" ht="12.8" hidden="false" customHeight="false" outlineLevel="0" collapsed="false">
      <c r="A16" s="72"/>
      <c r="B16" s="73"/>
      <c r="C16" s="74"/>
      <c r="D16" s="74"/>
      <c r="E16" s="74"/>
      <c r="F16" s="76"/>
      <c r="G16" s="89"/>
      <c r="H16" s="89"/>
      <c r="I16" s="90"/>
      <c r="J16" s="90"/>
      <c r="K16" s="79"/>
      <c r="L16" s="79"/>
      <c r="M16" s="80"/>
      <c r="N16" s="94"/>
      <c r="O16" s="82"/>
      <c r="P16" s="92"/>
      <c r="Q16" s="85"/>
      <c r="R16" s="95"/>
      <c r="S16" s="86"/>
      <c r="T16" s="93"/>
      <c r="U16" s="95"/>
      <c r="V16" s="95"/>
      <c r="W16" s="74"/>
      <c r="X16" s="88" t="n">
        <f aca="false">V16-Q16</f>
        <v>0</v>
      </c>
      <c r="Y16" s="16"/>
      <c r="AC16" s="42" t="s">
        <v>52</v>
      </c>
    </row>
    <row r="17" customFormat="false" ht="12.8" hidden="false" customHeight="false" outlineLevel="0" collapsed="false">
      <c r="A17" s="72"/>
      <c r="B17" s="73"/>
      <c r="C17" s="74"/>
      <c r="D17" s="74"/>
      <c r="E17" s="74"/>
      <c r="F17" s="76"/>
      <c r="G17" s="89"/>
      <c r="H17" s="89"/>
      <c r="I17" s="90"/>
      <c r="J17" s="90"/>
      <c r="K17" s="79"/>
      <c r="L17" s="79"/>
      <c r="M17" s="80"/>
      <c r="N17" s="94"/>
      <c r="O17" s="82"/>
      <c r="P17" s="92"/>
      <c r="Q17" s="85"/>
      <c r="R17" s="95"/>
      <c r="S17" s="86"/>
      <c r="T17" s="93"/>
      <c r="U17" s="95"/>
      <c r="V17" s="95"/>
      <c r="W17" s="74"/>
      <c r="X17" s="88" t="n">
        <f aca="false">V17-Q17</f>
        <v>0</v>
      </c>
      <c r="AA17" s="96"/>
      <c r="AC17" s="42" t="s">
        <v>53</v>
      </c>
    </row>
    <row r="18" customFormat="false" ht="12.8" hidden="false" customHeight="false" outlineLevel="0" collapsed="false">
      <c r="A18" s="72"/>
      <c r="B18" s="73"/>
      <c r="C18" s="74"/>
      <c r="D18" s="74"/>
      <c r="E18" s="74"/>
      <c r="F18" s="76"/>
      <c r="G18" s="89"/>
      <c r="H18" s="89"/>
      <c r="I18" s="90"/>
      <c r="J18" s="90"/>
      <c r="K18" s="79"/>
      <c r="L18" s="79"/>
      <c r="M18" s="80"/>
      <c r="N18" s="94"/>
      <c r="O18" s="91"/>
      <c r="P18" s="92"/>
      <c r="Q18" s="85"/>
      <c r="R18" s="95"/>
      <c r="S18" s="86"/>
      <c r="T18" s="93"/>
      <c r="U18" s="95"/>
      <c r="V18" s="95"/>
      <c r="W18" s="74"/>
      <c r="X18" s="88" t="n">
        <f aca="false">V18-Q18</f>
        <v>0</v>
      </c>
      <c r="AA18" s="88"/>
      <c r="AC18" s="26" t="s">
        <v>54</v>
      </c>
    </row>
    <row r="19" customFormat="false" ht="12.8" hidden="false" customHeight="false" outlineLevel="0" collapsed="false">
      <c r="A19" s="72"/>
      <c r="B19" s="73"/>
      <c r="C19" s="74"/>
      <c r="D19" s="74"/>
      <c r="E19" s="74"/>
      <c r="F19" s="76"/>
      <c r="G19" s="89"/>
      <c r="H19" s="89"/>
      <c r="I19" s="90"/>
      <c r="J19" s="90"/>
      <c r="K19" s="79"/>
      <c r="L19" s="79"/>
      <c r="M19" s="80"/>
      <c r="N19" s="94"/>
      <c r="O19" s="82"/>
      <c r="P19" s="92"/>
      <c r="Q19" s="85"/>
      <c r="R19" s="95"/>
      <c r="S19" s="86"/>
      <c r="T19" s="93"/>
      <c r="U19" s="95"/>
      <c r="V19" s="95"/>
      <c r="W19" s="74"/>
      <c r="X19" s="88" t="n">
        <f aca="false">V19-Q19</f>
        <v>0</v>
      </c>
      <c r="Z19" s="97"/>
      <c r="AC19" s="16" t="s">
        <v>55</v>
      </c>
    </row>
    <row r="20" customFormat="false" ht="12.8" hidden="false" customHeight="false" outlineLevel="0" collapsed="false">
      <c r="A20" s="72"/>
      <c r="B20" s="73"/>
      <c r="C20" s="74"/>
      <c r="D20" s="74"/>
      <c r="E20" s="74"/>
      <c r="F20" s="76"/>
      <c r="G20" s="77"/>
      <c r="H20" s="77"/>
      <c r="I20" s="78"/>
      <c r="J20" s="78"/>
      <c r="K20" s="79"/>
      <c r="L20" s="79"/>
      <c r="M20" s="80"/>
      <c r="N20" s="94"/>
      <c r="O20" s="91"/>
      <c r="P20" s="92"/>
      <c r="Q20" s="85"/>
      <c r="R20" s="95"/>
      <c r="S20" s="86"/>
      <c r="T20" s="87"/>
      <c r="U20" s="85"/>
      <c r="V20" s="85"/>
      <c r="W20" s="74"/>
      <c r="X20" s="88" t="n">
        <f aca="false">V20-Q20</f>
        <v>0</v>
      </c>
    </row>
    <row r="21" customFormat="false" ht="12.8" hidden="false" customHeight="false" outlineLevel="0" collapsed="false">
      <c r="A21" s="72"/>
      <c r="B21" s="73"/>
      <c r="C21" s="74"/>
      <c r="D21" s="74"/>
      <c r="E21" s="74"/>
      <c r="F21" s="76"/>
      <c r="G21" s="77"/>
      <c r="H21" s="77"/>
      <c r="I21" s="78"/>
      <c r="J21" s="78"/>
      <c r="K21" s="79"/>
      <c r="L21" s="79"/>
      <c r="M21" s="80"/>
      <c r="N21" s="94"/>
      <c r="O21" s="91"/>
      <c r="P21" s="92"/>
      <c r="Q21" s="85"/>
      <c r="R21" s="95"/>
      <c r="S21" s="86"/>
      <c r="T21" s="87"/>
      <c r="U21" s="85"/>
      <c r="V21" s="85"/>
      <c r="W21" s="74"/>
      <c r="X21" s="88" t="n">
        <f aca="false">V21-Q21</f>
        <v>0</v>
      </c>
    </row>
    <row r="22" customFormat="false" ht="12.8" hidden="false" customHeight="false" outlineLevel="0" collapsed="false">
      <c r="A22" s="72"/>
      <c r="B22" s="73"/>
      <c r="C22" s="74"/>
      <c r="D22" s="74"/>
      <c r="E22" s="74"/>
      <c r="F22" s="76"/>
      <c r="G22" s="77"/>
      <c r="H22" s="77"/>
      <c r="I22" s="78"/>
      <c r="J22" s="78"/>
      <c r="K22" s="79"/>
      <c r="L22" s="79"/>
      <c r="M22" s="80"/>
      <c r="N22" s="94"/>
      <c r="O22" s="91"/>
      <c r="P22" s="92"/>
      <c r="Q22" s="85"/>
      <c r="R22" s="95"/>
      <c r="S22" s="86"/>
      <c r="T22" s="87"/>
      <c r="U22" s="85"/>
      <c r="V22" s="85"/>
      <c r="W22" s="74"/>
      <c r="X22" s="88" t="n">
        <f aca="false">V22-Q22</f>
        <v>0</v>
      </c>
    </row>
    <row r="23" customFormat="false" ht="12.8" hidden="false" customHeight="false" outlineLevel="0" collapsed="false">
      <c r="A23" s="72"/>
      <c r="B23" s="73"/>
      <c r="C23" s="74"/>
      <c r="D23" s="74"/>
      <c r="E23" s="74"/>
      <c r="F23" s="76"/>
      <c r="G23" s="77"/>
      <c r="H23" s="77"/>
      <c r="I23" s="78"/>
      <c r="J23" s="78"/>
      <c r="K23" s="79"/>
      <c r="L23" s="79"/>
      <c r="M23" s="80"/>
      <c r="N23" s="94"/>
      <c r="O23" s="91"/>
      <c r="P23" s="92"/>
      <c r="Q23" s="85"/>
      <c r="R23" s="95"/>
      <c r="S23" s="86"/>
      <c r="T23" s="87"/>
      <c r="U23" s="85"/>
      <c r="V23" s="85"/>
      <c r="W23" s="74"/>
      <c r="X23" s="88" t="n">
        <f aca="false">V23-Q23</f>
        <v>0</v>
      </c>
    </row>
    <row r="24" customFormat="false" ht="12.8" hidden="false" customHeight="false" outlineLevel="0" collapsed="false">
      <c r="A24" s="72"/>
      <c r="B24" s="73"/>
      <c r="C24" s="74"/>
      <c r="D24" s="74"/>
      <c r="E24" s="74"/>
      <c r="F24" s="76"/>
      <c r="G24" s="77"/>
      <c r="H24" s="77"/>
      <c r="I24" s="78"/>
      <c r="J24" s="78"/>
      <c r="K24" s="79"/>
      <c r="L24" s="79"/>
      <c r="M24" s="80"/>
      <c r="N24" s="94"/>
      <c r="O24" s="91"/>
      <c r="P24" s="92"/>
      <c r="Q24" s="85"/>
      <c r="R24" s="95"/>
      <c r="S24" s="86"/>
      <c r="T24" s="87"/>
      <c r="U24" s="85"/>
      <c r="V24" s="85"/>
      <c r="W24" s="74"/>
      <c r="X24" s="88" t="n">
        <f aca="false">V24-Q24</f>
        <v>0</v>
      </c>
      <c r="Y24" s="16"/>
    </row>
    <row r="25" customFormat="false" ht="12.8" hidden="false" customHeight="false" outlineLevel="0" collapsed="false">
      <c r="A25" s="72"/>
      <c r="B25" s="73"/>
      <c r="C25" s="74"/>
      <c r="D25" s="74"/>
      <c r="E25" s="74"/>
      <c r="F25" s="76"/>
      <c r="G25" s="77"/>
      <c r="H25" s="77"/>
      <c r="I25" s="78"/>
      <c r="J25" s="78"/>
      <c r="K25" s="79"/>
      <c r="L25" s="79"/>
      <c r="M25" s="80"/>
      <c r="N25" s="94"/>
      <c r="O25" s="91"/>
      <c r="P25" s="92"/>
      <c r="Q25" s="85"/>
      <c r="R25" s="95"/>
      <c r="S25" s="86"/>
      <c r="T25" s="87"/>
      <c r="U25" s="85"/>
      <c r="V25" s="85"/>
      <c r="W25" s="74"/>
      <c r="X25" s="88" t="n">
        <f aca="false">V25-Q25</f>
        <v>0</v>
      </c>
      <c r="Y25" s="16"/>
    </row>
    <row r="26" customFormat="false" ht="12.8" hidden="false" customHeight="false" outlineLevel="0" collapsed="false">
      <c r="A26" s="72"/>
      <c r="B26" s="73"/>
      <c r="C26" s="74"/>
      <c r="D26" s="74"/>
      <c r="E26" s="74"/>
      <c r="F26" s="76"/>
      <c r="G26" s="77"/>
      <c r="H26" s="77"/>
      <c r="I26" s="78"/>
      <c r="J26" s="78"/>
      <c r="K26" s="79"/>
      <c r="L26" s="79"/>
      <c r="M26" s="80"/>
      <c r="N26" s="94"/>
      <c r="O26" s="91"/>
      <c r="P26" s="92"/>
      <c r="Q26" s="85"/>
      <c r="R26" s="95"/>
      <c r="S26" s="86"/>
      <c r="T26" s="87"/>
      <c r="U26" s="85"/>
      <c r="V26" s="85"/>
      <c r="W26" s="74"/>
      <c r="X26" s="88" t="n">
        <f aca="false">V26-Q26</f>
        <v>0</v>
      </c>
      <c r="Y26" s="16"/>
    </row>
    <row r="27" customFormat="false" ht="12.8" hidden="false" customHeight="false" outlineLevel="0" collapsed="false">
      <c r="A27" s="72"/>
      <c r="B27" s="73"/>
      <c r="C27" s="74"/>
      <c r="D27" s="74"/>
      <c r="E27" s="74"/>
      <c r="F27" s="76"/>
      <c r="G27" s="77"/>
      <c r="H27" s="77"/>
      <c r="I27" s="78"/>
      <c r="J27" s="78"/>
      <c r="K27" s="79"/>
      <c r="L27" s="79"/>
      <c r="M27" s="80"/>
      <c r="N27" s="94"/>
      <c r="O27" s="91"/>
      <c r="P27" s="92"/>
      <c r="Q27" s="85"/>
      <c r="R27" s="95"/>
      <c r="S27" s="86"/>
      <c r="T27" s="87"/>
      <c r="U27" s="85"/>
      <c r="V27" s="85"/>
      <c r="W27" s="74"/>
      <c r="X27" s="88" t="n">
        <f aca="false">V27-Q27</f>
        <v>0</v>
      </c>
      <c r="Y27" s="16"/>
    </row>
    <row r="28" customFormat="false" ht="12.8" hidden="false" customHeight="false" outlineLevel="0" collapsed="false">
      <c r="A28" s="72"/>
      <c r="B28" s="73"/>
      <c r="C28" s="74"/>
      <c r="D28" s="74"/>
      <c r="E28" s="74"/>
      <c r="F28" s="76"/>
      <c r="G28" s="77"/>
      <c r="H28" s="77"/>
      <c r="I28" s="78"/>
      <c r="J28" s="78"/>
      <c r="K28" s="79"/>
      <c r="L28" s="79"/>
      <c r="M28" s="80"/>
      <c r="N28" s="94"/>
      <c r="O28" s="91"/>
      <c r="P28" s="92"/>
      <c r="Q28" s="85"/>
      <c r="R28" s="95"/>
      <c r="S28" s="86"/>
      <c r="T28" s="87"/>
      <c r="U28" s="85"/>
      <c r="V28" s="85"/>
      <c r="W28" s="74"/>
      <c r="X28" s="88" t="n">
        <f aca="false">V28-Q28</f>
        <v>0</v>
      </c>
      <c r="Y28" s="16"/>
    </row>
    <row r="29" customFormat="false" ht="12.8" hidden="false" customHeight="false" outlineLevel="0" collapsed="false">
      <c r="A29" s="72"/>
      <c r="B29" s="73"/>
      <c r="C29" s="74"/>
      <c r="D29" s="74"/>
      <c r="E29" s="74"/>
      <c r="F29" s="76"/>
      <c r="G29" s="77"/>
      <c r="H29" s="77"/>
      <c r="I29" s="78"/>
      <c r="J29" s="78"/>
      <c r="K29" s="79"/>
      <c r="L29" s="79"/>
      <c r="M29" s="80"/>
      <c r="N29" s="94"/>
      <c r="O29" s="91"/>
      <c r="P29" s="92"/>
      <c r="Q29" s="85"/>
      <c r="R29" s="95"/>
      <c r="S29" s="86"/>
      <c r="T29" s="87"/>
      <c r="U29" s="85"/>
      <c r="V29" s="85"/>
      <c r="W29" s="74"/>
      <c r="X29" s="88" t="n">
        <f aca="false">V29-Q29</f>
        <v>0</v>
      </c>
      <c r="Y29" s="16"/>
    </row>
    <row r="30" customFormat="false" ht="12.8" hidden="false" customHeight="false" outlineLevel="0" collapsed="false">
      <c r="A30" s="72"/>
      <c r="B30" s="73"/>
      <c r="C30" s="74"/>
      <c r="D30" s="74"/>
      <c r="E30" s="74"/>
      <c r="F30" s="76"/>
      <c r="G30" s="77"/>
      <c r="H30" s="77"/>
      <c r="I30" s="78"/>
      <c r="J30" s="78"/>
      <c r="K30" s="79"/>
      <c r="L30" s="79"/>
      <c r="M30" s="80"/>
      <c r="N30" s="94"/>
      <c r="O30" s="91"/>
      <c r="P30" s="92"/>
      <c r="Q30" s="85"/>
      <c r="R30" s="95"/>
      <c r="S30" s="86"/>
      <c r="T30" s="87"/>
      <c r="U30" s="85"/>
      <c r="V30" s="85"/>
      <c r="W30" s="74"/>
      <c r="X30" s="88" t="n">
        <f aca="false">V30-Q30</f>
        <v>0</v>
      </c>
      <c r="Y30" s="16"/>
    </row>
    <row r="31" customFormat="false" ht="12.8" hidden="false" customHeight="false" outlineLevel="0" collapsed="false">
      <c r="A31" s="72"/>
      <c r="B31" s="73"/>
      <c r="C31" s="74"/>
      <c r="D31" s="74"/>
      <c r="E31" s="74"/>
      <c r="F31" s="76"/>
      <c r="G31" s="77"/>
      <c r="H31" s="77"/>
      <c r="I31" s="78"/>
      <c r="J31" s="78"/>
      <c r="K31" s="79"/>
      <c r="L31" s="79"/>
      <c r="M31" s="80"/>
      <c r="N31" s="94"/>
      <c r="O31" s="91"/>
      <c r="P31" s="92"/>
      <c r="Q31" s="85"/>
      <c r="R31" s="95"/>
      <c r="S31" s="86"/>
      <c r="T31" s="87"/>
      <c r="U31" s="85"/>
      <c r="V31" s="85"/>
      <c r="W31" s="74"/>
      <c r="X31" s="88" t="n">
        <f aca="false">V31-Q31</f>
        <v>0</v>
      </c>
      <c r="Y31" s="16"/>
    </row>
    <row r="32" customFormat="false" ht="12.8" hidden="false" customHeight="false" outlineLevel="0" collapsed="false">
      <c r="A32" s="72"/>
      <c r="B32" s="73"/>
      <c r="C32" s="74"/>
      <c r="D32" s="74"/>
      <c r="E32" s="74"/>
      <c r="F32" s="76"/>
      <c r="G32" s="89"/>
      <c r="H32" s="89"/>
      <c r="I32" s="90"/>
      <c r="J32" s="90"/>
      <c r="K32" s="79"/>
      <c r="L32" s="79"/>
      <c r="M32" s="80"/>
      <c r="N32" s="94"/>
      <c r="O32" s="82"/>
      <c r="P32" s="92"/>
      <c r="Q32" s="85"/>
      <c r="R32" s="95"/>
      <c r="S32" s="86"/>
      <c r="T32" s="93"/>
      <c r="U32" s="95"/>
      <c r="V32" s="95"/>
      <c r="W32" s="74"/>
      <c r="X32" s="88" t="n">
        <f aca="false">V32-Q32</f>
        <v>0</v>
      </c>
      <c r="Y32" s="16"/>
    </row>
    <row r="33" customFormat="false" ht="12.8" hidden="false" customHeight="false" outlineLevel="0" collapsed="false">
      <c r="A33" s="72"/>
      <c r="B33" s="73"/>
      <c r="C33" s="74"/>
      <c r="D33" s="74"/>
      <c r="E33" s="74"/>
      <c r="F33" s="76"/>
      <c r="G33" s="89"/>
      <c r="H33" s="89"/>
      <c r="I33" s="90"/>
      <c r="J33" s="90"/>
      <c r="K33" s="79"/>
      <c r="L33" s="79"/>
      <c r="M33" s="80"/>
      <c r="N33" s="94"/>
      <c r="O33" s="82"/>
      <c r="P33" s="92"/>
      <c r="Q33" s="85"/>
      <c r="R33" s="95"/>
      <c r="S33" s="86"/>
      <c r="T33" s="93"/>
      <c r="U33" s="95"/>
      <c r="V33" s="95"/>
      <c r="W33" s="74"/>
      <c r="X33" s="88" t="n">
        <f aca="false">V33-Q33</f>
        <v>0</v>
      </c>
      <c r="Y33" s="16"/>
    </row>
    <row r="34" customFormat="false" ht="12.8" hidden="false" customHeight="false" outlineLevel="0" collapsed="false">
      <c r="A34" s="72"/>
      <c r="B34" s="73"/>
      <c r="C34" s="74"/>
      <c r="D34" s="74"/>
      <c r="E34" s="74"/>
      <c r="F34" s="76"/>
      <c r="G34" s="77"/>
      <c r="H34" s="77"/>
      <c r="I34" s="78"/>
      <c r="J34" s="78"/>
      <c r="K34" s="79"/>
      <c r="L34" s="79"/>
      <c r="M34" s="80"/>
      <c r="N34" s="94"/>
      <c r="O34" s="91"/>
      <c r="P34" s="92"/>
      <c r="Q34" s="85"/>
      <c r="R34" s="95"/>
      <c r="S34" s="86"/>
      <c r="T34" s="87"/>
      <c r="U34" s="85"/>
      <c r="V34" s="85"/>
      <c r="W34" s="74"/>
      <c r="X34" s="88" t="n">
        <f aca="false">V34-Q34</f>
        <v>0</v>
      </c>
      <c r="Y34" s="16"/>
    </row>
    <row r="35" customFormat="false" ht="12.8" hidden="false" customHeight="false" outlineLevel="0" collapsed="false">
      <c r="A35" s="72"/>
      <c r="B35" s="73"/>
      <c r="C35" s="74"/>
      <c r="D35" s="74"/>
      <c r="E35" s="74"/>
      <c r="F35" s="76"/>
      <c r="G35" s="89"/>
      <c r="H35" s="89"/>
      <c r="I35" s="90"/>
      <c r="J35" s="90"/>
      <c r="K35" s="79"/>
      <c r="L35" s="79"/>
      <c r="M35" s="80"/>
      <c r="N35" s="94"/>
      <c r="O35" s="82"/>
      <c r="P35" s="92"/>
      <c r="Q35" s="85"/>
      <c r="R35" s="95"/>
      <c r="S35" s="86"/>
      <c r="T35" s="93"/>
      <c r="U35" s="95"/>
      <c r="V35" s="95"/>
      <c r="W35" s="74"/>
      <c r="X35" s="88" t="n">
        <f aca="false">V35-Q35</f>
        <v>0</v>
      </c>
      <c r="Y35" s="16"/>
    </row>
    <row r="36" customFormat="false" ht="12.8" hidden="false" customHeight="false" outlineLevel="0" collapsed="false">
      <c r="A36" s="72"/>
      <c r="B36" s="73"/>
      <c r="C36" s="74"/>
      <c r="D36" s="74"/>
      <c r="E36" s="74"/>
      <c r="F36" s="76"/>
      <c r="G36" s="89"/>
      <c r="H36" s="89"/>
      <c r="I36" s="90"/>
      <c r="J36" s="90"/>
      <c r="K36" s="79"/>
      <c r="L36" s="79"/>
      <c r="M36" s="80"/>
      <c r="N36" s="94"/>
      <c r="O36" s="91"/>
      <c r="P36" s="92"/>
      <c r="Q36" s="85"/>
      <c r="R36" s="95"/>
      <c r="S36" s="86"/>
      <c r="T36" s="93"/>
      <c r="U36" s="95"/>
      <c r="V36" s="95"/>
      <c r="W36" s="74"/>
      <c r="X36" s="88" t="n">
        <f aca="false">V36-Q36</f>
        <v>0</v>
      </c>
      <c r="Y36" s="16"/>
    </row>
    <row r="37" customFormat="false" ht="12.8" hidden="false" customHeight="false" outlineLevel="0" collapsed="false">
      <c r="A37" s="72"/>
      <c r="B37" s="73"/>
      <c r="C37" s="74"/>
      <c r="D37" s="74"/>
      <c r="E37" s="74"/>
      <c r="F37" s="76"/>
      <c r="G37" s="89"/>
      <c r="H37" s="89"/>
      <c r="I37" s="90"/>
      <c r="J37" s="90"/>
      <c r="K37" s="79"/>
      <c r="L37" s="79"/>
      <c r="M37" s="80"/>
      <c r="N37" s="94"/>
      <c r="O37" s="82"/>
      <c r="P37" s="92"/>
      <c r="Q37" s="85"/>
      <c r="R37" s="95"/>
      <c r="S37" s="86"/>
      <c r="T37" s="93"/>
      <c r="U37" s="95"/>
      <c r="V37" s="95"/>
      <c r="W37" s="74"/>
      <c r="X37" s="88" t="n">
        <f aca="false">V37-Q37</f>
        <v>0</v>
      </c>
      <c r="Y37" s="16"/>
    </row>
    <row r="38" customFormat="false" ht="12.8" hidden="false" customHeight="false" outlineLevel="0" collapsed="false">
      <c r="A38" s="72"/>
      <c r="B38" s="73"/>
      <c r="C38" s="74"/>
      <c r="D38" s="74"/>
      <c r="E38" s="74"/>
      <c r="F38" s="76"/>
      <c r="G38" s="77"/>
      <c r="H38" s="77"/>
      <c r="I38" s="78"/>
      <c r="J38" s="78"/>
      <c r="K38" s="79"/>
      <c r="L38" s="79"/>
      <c r="M38" s="80"/>
      <c r="N38" s="94"/>
      <c r="O38" s="91"/>
      <c r="P38" s="92"/>
      <c r="Q38" s="85"/>
      <c r="R38" s="95"/>
      <c r="S38" s="86"/>
      <c r="T38" s="87"/>
      <c r="U38" s="85"/>
      <c r="V38" s="85"/>
      <c r="W38" s="74"/>
      <c r="X38" s="88" t="n">
        <f aca="false">V38-Q38</f>
        <v>0</v>
      </c>
      <c r="Y38" s="16"/>
    </row>
    <row r="39" customFormat="false" ht="12.8" hidden="false" customHeight="false" outlineLevel="0" collapsed="false">
      <c r="A39" s="72"/>
      <c r="B39" s="73"/>
      <c r="C39" s="74"/>
      <c r="D39" s="74"/>
      <c r="E39" s="74"/>
      <c r="F39" s="76"/>
      <c r="G39" s="77"/>
      <c r="H39" s="77"/>
      <c r="I39" s="78"/>
      <c r="J39" s="78"/>
      <c r="K39" s="79"/>
      <c r="L39" s="79"/>
      <c r="M39" s="80"/>
      <c r="N39" s="94"/>
      <c r="O39" s="91"/>
      <c r="P39" s="92"/>
      <c r="Q39" s="85"/>
      <c r="R39" s="95"/>
      <c r="S39" s="86"/>
      <c r="T39" s="87"/>
      <c r="U39" s="85"/>
      <c r="V39" s="85"/>
      <c r="W39" s="74"/>
      <c r="X39" s="88" t="n">
        <f aca="false">V39-Q39</f>
        <v>0</v>
      </c>
      <c r="Y39" s="16"/>
    </row>
    <row r="40" customFormat="false" ht="12.8" hidden="false" customHeight="false" outlineLevel="0" collapsed="false">
      <c r="A40" s="72"/>
      <c r="B40" s="73"/>
      <c r="C40" s="74"/>
      <c r="D40" s="74"/>
      <c r="E40" s="74"/>
      <c r="F40" s="76"/>
      <c r="G40" s="77"/>
      <c r="H40" s="77"/>
      <c r="I40" s="78"/>
      <c r="J40" s="78"/>
      <c r="K40" s="79"/>
      <c r="L40" s="79"/>
      <c r="M40" s="80"/>
      <c r="N40" s="94"/>
      <c r="O40" s="91"/>
      <c r="P40" s="92"/>
      <c r="Q40" s="85"/>
      <c r="R40" s="95"/>
      <c r="S40" s="86"/>
      <c r="T40" s="87"/>
      <c r="U40" s="85"/>
      <c r="V40" s="85"/>
      <c r="W40" s="74"/>
      <c r="X40" s="88" t="n">
        <f aca="false">V40-Q40</f>
        <v>0</v>
      </c>
      <c r="Y40" s="16"/>
    </row>
    <row r="41" customFormat="false" ht="12.8" hidden="false" customHeight="false" outlineLevel="0" collapsed="false">
      <c r="A41" s="72"/>
      <c r="B41" s="73"/>
      <c r="C41" s="74"/>
      <c r="D41" s="74"/>
      <c r="E41" s="74"/>
      <c r="F41" s="76"/>
      <c r="G41" s="77"/>
      <c r="H41" s="77"/>
      <c r="I41" s="78"/>
      <c r="J41" s="78"/>
      <c r="K41" s="79"/>
      <c r="L41" s="79"/>
      <c r="M41" s="80"/>
      <c r="N41" s="94"/>
      <c r="O41" s="91"/>
      <c r="P41" s="92"/>
      <c r="Q41" s="85"/>
      <c r="R41" s="95"/>
      <c r="S41" s="86"/>
      <c r="T41" s="87"/>
      <c r="U41" s="85"/>
      <c r="V41" s="85"/>
      <c r="W41" s="74"/>
      <c r="X41" s="88" t="n">
        <f aca="false">V41-Q41</f>
        <v>0</v>
      </c>
      <c r="Y41" s="16"/>
    </row>
    <row r="42" customFormat="false" ht="12.8" hidden="false" customHeight="false" outlineLevel="0" collapsed="false">
      <c r="A42" s="72"/>
      <c r="B42" s="73"/>
      <c r="C42" s="74"/>
      <c r="D42" s="74"/>
      <c r="E42" s="74"/>
      <c r="F42" s="76"/>
      <c r="G42" s="77"/>
      <c r="H42" s="77"/>
      <c r="I42" s="78"/>
      <c r="J42" s="78"/>
      <c r="K42" s="79"/>
      <c r="L42" s="79"/>
      <c r="M42" s="80"/>
      <c r="N42" s="94"/>
      <c r="O42" s="91"/>
      <c r="P42" s="92"/>
      <c r="Q42" s="85"/>
      <c r="R42" s="95"/>
      <c r="S42" s="86"/>
      <c r="T42" s="87"/>
      <c r="U42" s="85"/>
      <c r="V42" s="85"/>
      <c r="W42" s="74"/>
      <c r="X42" s="88" t="n">
        <f aca="false">V42-Q42</f>
        <v>0</v>
      </c>
      <c r="Y42" s="16"/>
    </row>
    <row r="43" customFormat="false" ht="12.8" hidden="false" customHeight="false" outlineLevel="0" collapsed="false">
      <c r="A43" s="72"/>
      <c r="B43" s="73"/>
      <c r="C43" s="74"/>
      <c r="D43" s="74"/>
      <c r="E43" s="74"/>
      <c r="F43" s="76"/>
      <c r="G43" s="77"/>
      <c r="H43" s="77"/>
      <c r="I43" s="78"/>
      <c r="J43" s="78"/>
      <c r="K43" s="79"/>
      <c r="L43" s="79"/>
      <c r="M43" s="80"/>
      <c r="N43" s="94"/>
      <c r="O43" s="91"/>
      <c r="P43" s="92"/>
      <c r="Q43" s="85"/>
      <c r="R43" s="95"/>
      <c r="S43" s="86"/>
      <c r="T43" s="87"/>
      <c r="U43" s="85"/>
      <c r="V43" s="85"/>
      <c r="W43" s="74"/>
      <c r="X43" s="88" t="n">
        <f aca="false">V43-Q43</f>
        <v>0</v>
      </c>
      <c r="Y43" s="16"/>
    </row>
    <row r="44" customFormat="false" ht="12.8" hidden="false" customHeight="false" outlineLevel="0" collapsed="false">
      <c r="A44" s="72"/>
      <c r="B44" s="73"/>
      <c r="C44" s="74"/>
      <c r="D44" s="74"/>
      <c r="E44" s="74"/>
      <c r="F44" s="76"/>
      <c r="G44" s="77"/>
      <c r="H44" s="77"/>
      <c r="I44" s="78"/>
      <c r="J44" s="78"/>
      <c r="K44" s="79"/>
      <c r="L44" s="79"/>
      <c r="M44" s="80"/>
      <c r="N44" s="94"/>
      <c r="O44" s="91"/>
      <c r="P44" s="92"/>
      <c r="Q44" s="85"/>
      <c r="R44" s="95"/>
      <c r="S44" s="86"/>
      <c r="T44" s="87"/>
      <c r="U44" s="85"/>
      <c r="V44" s="85"/>
      <c r="W44" s="74"/>
      <c r="X44" s="88" t="n">
        <f aca="false">V44-Q44</f>
        <v>0</v>
      </c>
      <c r="Y44" s="16"/>
    </row>
    <row r="45" customFormat="false" ht="12.8" hidden="false" customHeight="false" outlineLevel="0" collapsed="false">
      <c r="A45" s="72"/>
      <c r="B45" s="73"/>
      <c r="C45" s="74"/>
      <c r="D45" s="74"/>
      <c r="E45" s="74"/>
      <c r="F45" s="76"/>
      <c r="G45" s="77"/>
      <c r="H45" s="77"/>
      <c r="I45" s="78"/>
      <c r="J45" s="78"/>
      <c r="K45" s="79"/>
      <c r="L45" s="79"/>
      <c r="M45" s="80"/>
      <c r="N45" s="94"/>
      <c r="O45" s="91"/>
      <c r="P45" s="92"/>
      <c r="Q45" s="85"/>
      <c r="R45" s="95"/>
      <c r="S45" s="86"/>
      <c r="T45" s="87"/>
      <c r="U45" s="85"/>
      <c r="V45" s="85"/>
      <c r="W45" s="74"/>
      <c r="X45" s="88" t="n">
        <f aca="false">V45-Q45</f>
        <v>0</v>
      </c>
      <c r="Y45" s="16"/>
    </row>
    <row r="46" customFormat="false" ht="12.8" hidden="false" customHeight="false" outlineLevel="0" collapsed="false">
      <c r="A46" s="72"/>
      <c r="B46" s="73"/>
      <c r="C46" s="74"/>
      <c r="D46" s="74"/>
      <c r="E46" s="74"/>
      <c r="F46" s="76"/>
      <c r="G46" s="77"/>
      <c r="H46" s="77"/>
      <c r="I46" s="78"/>
      <c r="J46" s="78"/>
      <c r="K46" s="79"/>
      <c r="L46" s="79"/>
      <c r="M46" s="80"/>
      <c r="N46" s="94"/>
      <c r="O46" s="91"/>
      <c r="P46" s="92"/>
      <c r="Q46" s="85"/>
      <c r="R46" s="95"/>
      <c r="S46" s="86"/>
      <c r="T46" s="87"/>
      <c r="U46" s="85"/>
      <c r="V46" s="85"/>
      <c r="W46" s="74"/>
      <c r="X46" s="88" t="n">
        <f aca="false">V46-Q46</f>
        <v>0</v>
      </c>
      <c r="Y46" s="16"/>
    </row>
    <row r="47" customFormat="false" ht="12.8" hidden="false" customHeight="false" outlineLevel="0" collapsed="false">
      <c r="A47" s="72"/>
      <c r="B47" s="73"/>
      <c r="C47" s="74"/>
      <c r="D47" s="74"/>
      <c r="E47" s="74"/>
      <c r="F47" s="76"/>
      <c r="G47" s="77"/>
      <c r="H47" s="77"/>
      <c r="I47" s="78"/>
      <c r="J47" s="78"/>
      <c r="K47" s="79"/>
      <c r="L47" s="79"/>
      <c r="M47" s="80"/>
      <c r="N47" s="94"/>
      <c r="O47" s="91"/>
      <c r="P47" s="92"/>
      <c r="Q47" s="85"/>
      <c r="R47" s="95"/>
      <c r="S47" s="86"/>
      <c r="T47" s="87"/>
      <c r="U47" s="85"/>
      <c r="V47" s="85"/>
      <c r="W47" s="74"/>
      <c r="X47" s="88" t="n">
        <f aca="false">V47-Q47</f>
        <v>0</v>
      </c>
      <c r="Y47" s="16"/>
    </row>
    <row r="48" customFormat="false" ht="12.8" hidden="false" customHeight="false" outlineLevel="0" collapsed="false">
      <c r="A48" s="72"/>
      <c r="B48" s="73"/>
      <c r="C48" s="74"/>
      <c r="D48" s="74"/>
      <c r="E48" s="74"/>
      <c r="F48" s="76"/>
      <c r="G48" s="77"/>
      <c r="H48" s="77"/>
      <c r="I48" s="78"/>
      <c r="J48" s="78"/>
      <c r="K48" s="79"/>
      <c r="L48" s="79"/>
      <c r="M48" s="80"/>
      <c r="N48" s="94"/>
      <c r="O48" s="98"/>
      <c r="P48" s="99"/>
      <c r="Q48" s="85"/>
      <c r="R48" s="95"/>
      <c r="S48" s="86"/>
      <c r="T48" s="87"/>
      <c r="U48" s="85"/>
      <c r="V48" s="85"/>
      <c r="W48" s="100"/>
      <c r="X48" s="88" t="n">
        <f aca="false">V48-Q48</f>
        <v>0</v>
      </c>
      <c r="Y48" s="16"/>
    </row>
    <row r="49" customFormat="false" ht="12.8" hidden="false" customHeight="false" outlineLevel="0" collapsed="false">
      <c r="A49" s="72"/>
      <c r="B49" s="73"/>
      <c r="C49" s="74"/>
      <c r="D49" s="74"/>
      <c r="E49" s="74"/>
      <c r="F49" s="76"/>
      <c r="G49" s="89"/>
      <c r="H49" s="89"/>
      <c r="I49" s="90"/>
      <c r="J49" s="90"/>
      <c r="K49" s="79"/>
      <c r="L49" s="79"/>
      <c r="M49" s="80"/>
      <c r="N49" s="94"/>
      <c r="O49" s="82"/>
      <c r="P49" s="92"/>
      <c r="Q49" s="85"/>
      <c r="R49" s="95"/>
      <c r="S49" s="86"/>
      <c r="T49" s="93"/>
      <c r="U49" s="95"/>
      <c r="V49" s="95"/>
      <c r="W49" s="74"/>
      <c r="X49" s="88" t="n">
        <f aca="false">V49-Q49</f>
        <v>0</v>
      </c>
      <c r="Y49" s="16"/>
    </row>
    <row r="50" customFormat="false" ht="12.8" hidden="false" customHeight="false" outlineLevel="0" collapsed="false">
      <c r="A50" s="72"/>
      <c r="B50" s="73"/>
      <c r="C50" s="74"/>
      <c r="D50" s="74"/>
      <c r="E50" s="74"/>
      <c r="F50" s="76"/>
      <c r="G50" s="89"/>
      <c r="H50" s="89"/>
      <c r="I50" s="90"/>
      <c r="J50" s="90"/>
      <c r="K50" s="79"/>
      <c r="L50" s="79"/>
      <c r="M50" s="80"/>
      <c r="N50" s="94"/>
      <c r="O50" s="82"/>
      <c r="P50" s="92"/>
      <c r="Q50" s="85"/>
      <c r="R50" s="95"/>
      <c r="S50" s="86"/>
      <c r="T50" s="93"/>
      <c r="U50" s="95"/>
      <c r="V50" s="95"/>
      <c r="W50" s="74"/>
      <c r="X50" s="88" t="n">
        <f aca="false">V50-Q50</f>
        <v>0</v>
      </c>
      <c r="Y50" s="16"/>
    </row>
    <row r="51" customFormat="false" ht="12.8" hidden="false" customHeight="false" outlineLevel="0" collapsed="false">
      <c r="A51" s="72"/>
      <c r="B51" s="73"/>
      <c r="C51" s="74"/>
      <c r="D51" s="74"/>
      <c r="E51" s="74"/>
      <c r="F51" s="76"/>
      <c r="G51" s="77"/>
      <c r="H51" s="77"/>
      <c r="I51" s="78"/>
      <c r="J51" s="78"/>
      <c r="K51" s="79"/>
      <c r="L51" s="79"/>
      <c r="M51" s="80"/>
      <c r="N51" s="94"/>
      <c r="O51" s="82"/>
      <c r="P51" s="92"/>
      <c r="Q51" s="85"/>
      <c r="R51" s="95"/>
      <c r="S51" s="86"/>
      <c r="T51" s="93"/>
      <c r="U51" s="95"/>
      <c r="V51" s="95"/>
      <c r="W51" s="74"/>
      <c r="X51" s="88" t="n">
        <f aca="false">V51-Q51</f>
        <v>0</v>
      </c>
      <c r="Y51" s="16"/>
    </row>
    <row r="52" customFormat="false" ht="12.8" hidden="false" customHeight="false" outlineLevel="0" collapsed="false">
      <c r="A52" s="72"/>
      <c r="B52" s="73"/>
      <c r="C52" s="74"/>
      <c r="D52" s="74"/>
      <c r="E52" s="74"/>
      <c r="F52" s="76"/>
      <c r="G52" s="77"/>
      <c r="H52" s="77"/>
      <c r="I52" s="78"/>
      <c r="J52" s="78"/>
      <c r="K52" s="79"/>
      <c r="L52" s="79"/>
      <c r="M52" s="80"/>
      <c r="N52" s="94"/>
      <c r="O52" s="82"/>
      <c r="P52" s="92"/>
      <c r="Q52" s="85"/>
      <c r="R52" s="95"/>
      <c r="S52" s="86"/>
      <c r="T52" s="93"/>
      <c r="U52" s="95"/>
      <c r="V52" s="95"/>
      <c r="W52" s="74"/>
      <c r="X52" s="88" t="n">
        <f aca="false">V52-Q52</f>
        <v>0</v>
      </c>
      <c r="Y52" s="16"/>
    </row>
    <row r="53" customFormat="false" ht="12.8" hidden="false" customHeight="false" outlineLevel="0" collapsed="false">
      <c r="A53" s="72"/>
      <c r="B53" s="73"/>
      <c r="C53" s="74"/>
      <c r="D53" s="74"/>
      <c r="E53" s="74"/>
      <c r="F53" s="76"/>
      <c r="G53" s="77"/>
      <c r="H53" s="77"/>
      <c r="I53" s="78"/>
      <c r="J53" s="78"/>
      <c r="K53" s="79"/>
      <c r="L53" s="79"/>
      <c r="M53" s="80"/>
      <c r="N53" s="94"/>
      <c r="O53" s="82"/>
      <c r="P53" s="92"/>
      <c r="Q53" s="85"/>
      <c r="R53" s="95"/>
      <c r="S53" s="86"/>
      <c r="T53" s="93"/>
      <c r="U53" s="95"/>
      <c r="V53" s="95"/>
      <c r="W53" s="74"/>
      <c r="X53" s="88" t="n">
        <f aca="false">V53-Q53</f>
        <v>0</v>
      </c>
      <c r="Y53" s="16"/>
    </row>
    <row r="54" customFormat="false" ht="12.8" hidden="false" customHeight="false" outlineLevel="0" collapsed="false">
      <c r="A54" s="72"/>
      <c r="B54" s="73"/>
      <c r="C54" s="74"/>
      <c r="D54" s="74"/>
      <c r="E54" s="74"/>
      <c r="F54" s="76"/>
      <c r="G54" s="77"/>
      <c r="H54" s="77"/>
      <c r="I54" s="78"/>
      <c r="J54" s="78"/>
      <c r="K54" s="79"/>
      <c r="L54" s="79"/>
      <c r="M54" s="80"/>
      <c r="N54" s="94"/>
      <c r="O54" s="82"/>
      <c r="P54" s="92"/>
      <c r="Q54" s="85"/>
      <c r="R54" s="95"/>
      <c r="S54" s="86"/>
      <c r="T54" s="93"/>
      <c r="U54" s="95"/>
      <c r="V54" s="95"/>
      <c r="W54" s="74"/>
      <c r="X54" s="88" t="n">
        <f aca="false">V54-Q54</f>
        <v>0</v>
      </c>
      <c r="Y54" s="16"/>
    </row>
    <row r="55" customFormat="false" ht="12.8" hidden="false" customHeight="false" outlineLevel="0" collapsed="false">
      <c r="A55" s="72"/>
      <c r="B55" s="73"/>
      <c r="C55" s="74"/>
      <c r="D55" s="74"/>
      <c r="E55" s="74"/>
      <c r="F55" s="76"/>
      <c r="G55" s="77"/>
      <c r="H55" s="77"/>
      <c r="I55" s="78"/>
      <c r="J55" s="78"/>
      <c r="K55" s="79"/>
      <c r="L55" s="79"/>
      <c r="M55" s="80"/>
      <c r="N55" s="94"/>
      <c r="O55" s="82"/>
      <c r="P55" s="92"/>
      <c r="Q55" s="85"/>
      <c r="R55" s="95"/>
      <c r="S55" s="86"/>
      <c r="T55" s="93"/>
      <c r="U55" s="95"/>
      <c r="V55" s="95"/>
      <c r="W55" s="74"/>
      <c r="X55" s="88" t="n">
        <f aca="false">V55-Q55</f>
        <v>0</v>
      </c>
      <c r="Y55" s="16"/>
    </row>
    <row r="56" customFormat="false" ht="12.8" hidden="false" customHeight="false" outlineLevel="0" collapsed="false">
      <c r="A56" s="72"/>
      <c r="B56" s="73"/>
      <c r="C56" s="74"/>
      <c r="D56" s="74"/>
      <c r="E56" s="74"/>
      <c r="F56" s="76"/>
      <c r="G56" s="89"/>
      <c r="H56" s="89"/>
      <c r="I56" s="90"/>
      <c r="J56" s="90"/>
      <c r="K56" s="79"/>
      <c r="L56" s="79"/>
      <c r="M56" s="101"/>
      <c r="N56" s="94"/>
      <c r="O56" s="82"/>
      <c r="P56" s="92"/>
      <c r="Q56" s="85"/>
      <c r="R56" s="95"/>
      <c r="S56" s="86"/>
      <c r="T56" s="93"/>
      <c r="U56" s="95"/>
      <c r="V56" s="95"/>
      <c r="W56" s="74"/>
      <c r="X56" s="88" t="n">
        <f aca="false">V56-Q56</f>
        <v>0</v>
      </c>
      <c r="Y56" s="16"/>
    </row>
    <row r="57" customFormat="false" ht="12.8" hidden="false" customHeight="false" outlineLevel="0" collapsed="false">
      <c r="A57" s="72"/>
      <c r="B57" s="73"/>
      <c r="C57" s="74"/>
      <c r="D57" s="74"/>
      <c r="E57" s="74"/>
      <c r="F57" s="76"/>
      <c r="G57" s="89"/>
      <c r="H57" s="89"/>
      <c r="I57" s="90"/>
      <c r="J57" s="90"/>
      <c r="K57" s="79"/>
      <c r="L57" s="79"/>
      <c r="M57" s="80"/>
      <c r="N57" s="94"/>
      <c r="O57" s="82"/>
      <c r="P57" s="92"/>
      <c r="Q57" s="85"/>
      <c r="R57" s="95"/>
      <c r="S57" s="86"/>
      <c r="T57" s="93"/>
      <c r="U57" s="95"/>
      <c r="V57" s="95"/>
      <c r="W57" s="74"/>
      <c r="X57" s="88" t="n">
        <f aca="false">V57-Q57</f>
        <v>0</v>
      </c>
      <c r="Y57" s="16"/>
    </row>
    <row r="58" customFormat="false" ht="13.5" hidden="false" customHeight="false" outlineLevel="0" collapsed="false">
      <c r="A58" s="102"/>
      <c r="B58" s="103" t="s">
        <v>56</v>
      </c>
      <c r="C58" s="104"/>
      <c r="D58" s="105"/>
      <c r="E58" s="74" t="n">
        <f aca="false">E57-C58+D58</f>
        <v>0</v>
      </c>
      <c r="F58" s="106"/>
      <c r="G58" s="107"/>
      <c r="H58" s="64"/>
      <c r="I58" s="108"/>
      <c r="J58" s="108"/>
      <c r="K58" s="109"/>
      <c r="L58" s="108"/>
      <c r="M58" s="110"/>
      <c r="N58" s="64"/>
      <c r="O58" s="111" t="s">
        <v>57</v>
      </c>
      <c r="P58" s="109"/>
      <c r="Q58" s="112"/>
      <c r="R58" s="95" t="n">
        <f aca="false">R57-P58+Q58-C58+D58</f>
        <v>0</v>
      </c>
      <c r="S58" s="113"/>
      <c r="T58" s="114"/>
      <c r="U58" s="114"/>
      <c r="V58" s="40"/>
      <c r="W58" s="40"/>
      <c r="X58" s="25" t="n">
        <f aca="false">SUM(X13:X57)</f>
        <v>0</v>
      </c>
    </row>
    <row r="59" customFormat="false" ht="13.5" hidden="false" customHeight="false" outlineLevel="0" collapsed="false">
      <c r="A59" s="102"/>
      <c r="B59" s="28"/>
      <c r="C59" s="29"/>
      <c r="D59" s="30"/>
      <c r="E59" s="29"/>
      <c r="F59" s="29"/>
      <c r="G59" s="31"/>
      <c r="H59" s="31"/>
      <c r="I59" s="49"/>
      <c r="J59" s="49"/>
      <c r="K59" s="115"/>
      <c r="L59" s="49"/>
      <c r="M59" s="50"/>
      <c r="N59" s="31"/>
      <c r="O59" s="34"/>
      <c r="P59" s="29"/>
      <c r="Q59" s="29"/>
      <c r="R59" s="114"/>
      <c r="S59" s="114"/>
      <c r="T59" s="114"/>
      <c r="U59" s="114"/>
      <c r="V59" s="29"/>
      <c r="W59" s="29"/>
    </row>
    <row r="60" customFormat="false" ht="13.5" hidden="true" customHeight="true" outlineLevel="0" collapsed="false">
      <c r="A60" s="102"/>
      <c r="B60" s="116" t="s">
        <v>58</v>
      </c>
      <c r="C60" s="117"/>
      <c r="D60" s="118"/>
      <c r="E60" s="117"/>
      <c r="F60" s="119"/>
      <c r="G60" s="64"/>
      <c r="H60" s="64"/>
      <c r="I60" s="108"/>
      <c r="J60" s="108"/>
      <c r="K60" s="109"/>
      <c r="L60" s="108"/>
      <c r="M60" s="110"/>
      <c r="N60" s="64"/>
      <c r="O60" s="120"/>
      <c r="P60" s="121" t="n">
        <f aca="false">R58-E58</f>
        <v>0</v>
      </c>
      <c r="Q60" s="29"/>
      <c r="R60" s="29"/>
      <c r="S60" s="29"/>
      <c r="T60" s="29"/>
      <c r="U60" s="29"/>
      <c r="V60" s="29"/>
      <c r="W60" s="30"/>
    </row>
    <row r="61" customFormat="false" ht="13.5" hidden="true" customHeight="true" outlineLevel="0" collapsed="false">
      <c r="A61" s="102"/>
      <c r="B61" s="28"/>
      <c r="C61" s="29"/>
      <c r="D61" s="30"/>
      <c r="E61" s="29"/>
      <c r="G61" s="31"/>
      <c r="H61" s="31"/>
      <c r="I61" s="49"/>
      <c r="J61" s="49"/>
      <c r="K61" s="115"/>
      <c r="L61" s="49"/>
      <c r="M61" s="50"/>
      <c r="N61" s="31"/>
      <c r="O61" s="34"/>
      <c r="P61" s="30"/>
      <c r="Q61" s="29"/>
      <c r="R61" s="29"/>
      <c r="S61" s="29"/>
      <c r="T61" s="29"/>
      <c r="U61" s="29"/>
      <c r="V61" s="29"/>
      <c r="W61" s="30"/>
    </row>
    <row r="62" customFormat="false" ht="13.5" hidden="false" customHeight="false" outlineLevel="0" collapsed="false">
      <c r="A62" s="102"/>
      <c r="B62" s="28"/>
      <c r="C62" s="29"/>
      <c r="D62" s="30"/>
      <c r="E62" s="29"/>
      <c r="G62" s="31"/>
      <c r="H62" s="31"/>
      <c r="I62" s="49"/>
      <c r="J62" s="49"/>
      <c r="K62" s="115"/>
      <c r="L62" s="49"/>
      <c r="M62" s="50"/>
      <c r="N62" s="31"/>
      <c r="O62" s="82" t="s">
        <v>59</v>
      </c>
      <c r="P62" s="75" t="n">
        <f aca="false">R58</f>
        <v>0</v>
      </c>
      <c r="Q62" s="29"/>
      <c r="R62" s="29"/>
      <c r="S62" s="29"/>
      <c r="T62" s="29"/>
      <c r="U62" s="29"/>
      <c r="V62" s="29"/>
      <c r="W62" s="30"/>
    </row>
    <row r="63" customFormat="false" ht="13.5" hidden="false" customHeight="false" outlineLevel="0" collapsed="false">
      <c r="A63" s="102"/>
      <c r="B63" s="28"/>
      <c r="C63" s="29"/>
      <c r="D63" s="30"/>
      <c r="E63" s="29"/>
      <c r="G63" s="31"/>
      <c r="H63" s="31"/>
      <c r="I63" s="49"/>
      <c r="J63" s="49"/>
      <c r="K63" s="115"/>
      <c r="L63" s="49"/>
      <c r="M63" s="50"/>
      <c r="N63" s="31"/>
      <c r="O63" s="82" t="str">
        <f aca="false">"Valor "&amp;AA3&amp;" (controverso):"</f>
        <v>Valor executado (controverso):</v>
      </c>
      <c r="P63" s="75" t="n">
        <f aca="false">E58</f>
        <v>0</v>
      </c>
      <c r="Q63" s="29"/>
      <c r="R63" s="29"/>
      <c r="S63" s="29"/>
      <c r="T63" s="29"/>
      <c r="U63" s="29"/>
      <c r="V63" s="29"/>
      <c r="W63" s="30"/>
    </row>
    <row r="64" customFormat="false" ht="13.5" hidden="false" customHeight="false" outlineLevel="0" collapsed="false">
      <c r="A64" s="102"/>
      <c r="B64" s="28"/>
      <c r="C64" s="29"/>
      <c r="D64" s="30"/>
      <c r="E64" s="29"/>
      <c r="G64" s="31"/>
      <c r="H64" s="31"/>
      <c r="I64" s="49"/>
      <c r="J64" s="49"/>
      <c r="K64" s="115"/>
      <c r="L64" s="49"/>
      <c r="M64" s="50"/>
      <c r="N64" s="31"/>
      <c r="O64" s="122" t="str">
        <f aca="false">"Excesso de "&amp;AB3&amp;":"</f>
        <v>Excesso de execução:</v>
      </c>
      <c r="P64" s="123" t="n">
        <f aca="false">ABS(P62-P63)</f>
        <v>0</v>
      </c>
      <c r="Q64" s="29"/>
      <c r="R64" s="29"/>
      <c r="S64" s="29"/>
      <c r="T64" s="29"/>
      <c r="U64" s="29"/>
      <c r="V64" s="29"/>
      <c r="W64" s="30"/>
    </row>
    <row r="65" customFormat="false" ht="13.5" hidden="false" customHeight="false" outlineLevel="0" collapsed="false">
      <c r="A65" s="102"/>
      <c r="B65" s="28"/>
      <c r="C65" s="29"/>
      <c r="D65" s="30"/>
      <c r="E65" s="29"/>
      <c r="G65" s="31"/>
      <c r="H65" s="31"/>
      <c r="I65" s="49"/>
      <c r="J65" s="49"/>
      <c r="K65" s="115"/>
      <c r="L65" s="49"/>
      <c r="M65" s="50"/>
      <c r="N65" s="31"/>
      <c r="O65" s="44" t="s">
        <v>60</v>
      </c>
      <c r="P65" s="30"/>
      <c r="Q65" s="29"/>
      <c r="R65" s="29"/>
      <c r="S65" s="29"/>
      <c r="T65" s="29"/>
      <c r="U65" s="29"/>
      <c r="V65" s="29"/>
      <c r="W65" s="30"/>
    </row>
    <row r="67" customFormat="false" ht="13.5" hidden="false" customHeight="false" outlineLevel="0" collapsed="false">
      <c r="B67" s="124" t="s">
        <v>61</v>
      </c>
      <c r="C67" s="125"/>
      <c r="D67" s="125"/>
      <c r="E67" s="126" t="n">
        <f aca="false">E58</f>
        <v>0</v>
      </c>
      <c r="O67" s="127" t="s">
        <v>62</v>
      </c>
      <c r="P67" s="127"/>
      <c r="Q67" s="127"/>
      <c r="R67" s="125" t="n">
        <f aca="false">R58</f>
        <v>0</v>
      </c>
    </row>
    <row r="68" customFormat="false" ht="15" hidden="false" customHeight="false" outlineLevel="0" collapsed="false">
      <c r="B68" s="124" t="s">
        <v>63</v>
      </c>
      <c r="C68" s="125"/>
      <c r="D68" s="125"/>
      <c r="E68" s="128"/>
      <c r="O68" s="124" t="s">
        <v>63</v>
      </c>
      <c r="P68" s="127"/>
      <c r="Q68" s="127"/>
      <c r="R68" s="127" t="n">
        <f aca="false">G68</f>
        <v>0</v>
      </c>
      <c r="Y68" s="129" t="s">
        <v>64</v>
      </c>
      <c r="Z68" s="129"/>
    </row>
    <row r="69" customFormat="false" ht="15" hidden="false" customHeight="false" outlineLevel="0" collapsed="false">
      <c r="B69" s="124" t="s">
        <v>65</v>
      </c>
      <c r="C69" s="125"/>
      <c r="D69" s="125"/>
      <c r="E69" s="126" t="n">
        <f aca="false">E70-E67</f>
        <v>0</v>
      </c>
      <c r="O69" s="124" t="s">
        <v>65</v>
      </c>
      <c r="P69" s="127"/>
      <c r="Q69" s="127"/>
      <c r="R69" s="125" t="n">
        <f aca="false">R70-R67</f>
        <v>0</v>
      </c>
      <c r="Y69" s="129"/>
      <c r="Z69" s="129"/>
    </row>
    <row r="70" customFormat="false" ht="15" hidden="false" customHeight="false" outlineLevel="0" collapsed="false">
      <c r="B70" s="124" t="s">
        <v>66</v>
      </c>
      <c r="C70" s="125"/>
      <c r="D70" s="125"/>
      <c r="E70" s="126" t="n">
        <f aca="false">E67*E68</f>
        <v>0</v>
      </c>
      <c r="O70" s="124" t="s">
        <v>67</v>
      </c>
      <c r="P70" s="127"/>
      <c r="Q70" s="127"/>
      <c r="R70" s="125" t="n">
        <f aca="false">R67*R68</f>
        <v>0</v>
      </c>
      <c r="Y70" s="129" t="s">
        <v>68</v>
      </c>
      <c r="Z70" s="129" t="s">
        <v>69</v>
      </c>
    </row>
    <row r="71" customFormat="false" ht="15" hidden="false" customHeight="false" outlineLevel="0" collapsed="false">
      <c r="O71" s="130"/>
      <c r="P71" s="130"/>
      <c r="Q71" s="130"/>
      <c r="R71" s="131"/>
      <c r="Y71" s="129" t="s">
        <v>70</v>
      </c>
      <c r="Z71" s="132" t="str">
        <f aca="false">A1</f>
        <v>Recálculo da operação nº 409.906.274 - Capitalização Afastada</v>
      </c>
    </row>
    <row r="72" customFormat="false" ht="13.5" hidden="false" customHeight="false" outlineLevel="0" collapsed="false">
      <c r="O72" s="133" t="s">
        <v>71</v>
      </c>
      <c r="P72" s="133"/>
      <c r="Q72" s="133"/>
      <c r="R72" s="134" t="n">
        <f aca="false">ABS(E70-R70)</f>
        <v>0</v>
      </c>
    </row>
    <row r="73" customFormat="false" ht="13.5" hidden="false" customHeight="false" outlineLevel="0" collapsed="false">
      <c r="O73" s="135" t="s">
        <v>60</v>
      </c>
      <c r="P73" s="127"/>
      <c r="Q73" s="127"/>
      <c r="R73" s="125"/>
    </row>
    <row r="75" customFormat="false" ht="13.5" hidden="false" customHeight="false" outlineLevel="0" collapsed="false">
      <c r="O75" s="136" t="str">
        <f aca="false">"Excesso utilizado na operação nº xxxx - Anexo "</f>
        <v>Excesso utilizado na operação nº xxxx - Anexo</v>
      </c>
    </row>
  </sheetData>
  <autoFilter ref="A12:W58"/>
  <mergeCells count="2">
    <mergeCell ref="A11:E11"/>
    <mergeCell ref="G11:W11"/>
  </mergeCells>
  <printOptions headings="false" gridLines="false" gridLinesSet="true" horizontalCentered="true" verticalCentered="false"/>
  <pageMargins left="0.236111111111111" right="0.236111111111111" top="0.748611111111111" bottom="0.748611111111111" header="0.315277777777778" footer="0.315277777777778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 Narrow,Normal"&amp;A</oddHeader>
    <oddFooter>&amp;C&amp;"Kabel,Regular"Valor Efetivo
Cálculos Judiciais&amp;R&amp;"Arial Narrow,Normal"&amp;9&amp;A
&amp;P/&amp;N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cDAABQSwMEFAACAAgAYo15U1fbAIWnAAAA+AAAABIAHABDb25maWcvUGFja2FnZS54bWwgohgAKKAUAAAAAAAAAAAAAAAAAAAAAAAAAAAAhY/RCoIwGIVfRXbv/qkEJr8T6jYhCqLbsZaOdIrO5rt10SP1CgllddflOXwHvvO43TEb68q7qq7XjUlJQBnxlJHNSZsiJYM9+zHJOG6FvIhCeRNs+mTsdUpKa9sEwDlHXUSbroCQsQCO+WYvS1ULX5veCiMV+axO/1eE4+Elw0MaM7qIWUSXLECYa8y1+SLhZEwZwk+J66GyQ6d4a/3VDmGOCO8X/AlQSwMEFAACAAgAYo15Uw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GKNeVMoike4DgAAABEAAAATABwARm9ybXVsYXMvU2VjdGlvbjEubSCiGAAooBQAAAAAAAAAAAAAAAAAAAAAAAAAAAArTk0uyczPUwiG0IbWAFBLAQItABQAAgAIAGKNeVNX2wCFpwAAAPgAAAASAAAAAAAAAAAAAAAAAAAAAABDb25maWcvUGFja2FnZS54bWxQSwECLQAUAAIACABijXlTD8rpq6QAAADpAAAAEwAAAAAAAAAAAAAAAADzAAAAW0NvbnRlbnRfVHlwZXNdLnhtbFBLAQItABQAAgAIAGKNeVMoike4DgAAABEAAAATAAAAAAAAAAAAAAAAAOQBAABGb3JtdWxhcy9TZWN0aW9uMS5tUEsFBgAAAAADAAMAwgAAAD8C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pcBAAAAAAAAdQEA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AGKZ09M82zS5ML0aTrtzucAAAAAAIAAAAAABBmAAAAAQAAIAAAABlMTDIQJSqJhHOXSnB18m1Qg13UjTB+jLkmMIShkV4MAAAAAA6AAAAAAgAAIAAAAA0jfEf0pmID3rnBpnOke9YVDjuOtIIHywOnzTaAa561UAAAACvH2RgkbURaxZ/OIAd22VIp1BXx+giIkO76Wnz6N+0ijGseVdEsYbhwHX6GvH4f3k7Dlif4f79OP1pqhcz2SwsrCCfHEToy5YUXNGx9MGjZQAAAADMjwZXKiCgewWplDQTqVYjKCJES/NF64USMVoTGaFnbq9oWbnGm8dzvR8LtrhStp+y0c9ahCdSfsnBhBVxuUB4=</DataMashup>
</file>

<file path=customXml/itemProps1.xml><?xml version="1.0" encoding="utf-8"?>
<ds:datastoreItem xmlns:ds="http://schemas.openxmlformats.org/officeDocument/2006/customXml" ds:itemID="{5AD61331-DF73-4048-B8E4-C78E9D303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2020-09-22T14:35:18Z</dcterms:created>
  <dc:creator>MagnoLeticia</dc:creator>
  <dc:description/>
  <dc:language>pt-BR</dc:language>
  <cp:lastModifiedBy/>
  <cp:lastPrinted>2025-01-28T18:49:25Z</cp:lastPrinted>
  <dcterms:modified xsi:type="dcterms:W3CDTF">2026-03-14T16:32:36Z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