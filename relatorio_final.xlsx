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1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ANEXO 2" sheetId="2" state="visible" r:id="rId2"/>
  </sheets>
  <definedNames>
    <definedName name="Anexo3">#REF!</definedName>
    <definedName name="Anexo3aa">#REF!</definedName>
    <definedName name="Anexo4">#REF!</definedName>
    <definedName name="anexo5">#REF!</definedName>
    <definedName name="Anexo6">#REF!</definedName>
    <definedName name="equipe">#REF!</definedName>
    <definedName name="Formatação">#REF!</definedName>
    <definedName name="IGPDI">#REF!</definedName>
    <definedName name="IGPDI0">#REF!</definedName>
    <definedName name="IGPM">#REF!</definedName>
    <definedName name="IGPM0">#REF!</definedName>
    <definedName name="ind">#REF!</definedName>
    <definedName name="INPC">#REF!</definedName>
    <definedName name="INPC0">#REF!</definedName>
    <definedName name="Média">#REF!</definedName>
    <definedName name="Média0">#REF!</definedName>
    <definedName name="Média001">#REF!</definedName>
    <definedName name="mf">#REF!</definedName>
    <definedName name="Seleção">#REF!</definedName>
    <definedName name="tabic">#REF!</definedName>
    <definedName name="tabicss">#REF!</definedName>
    <definedName name="TABMM">#REF!</definedName>
    <definedName name="TABMM2">#REF!</definedName>
    <definedName name="TABMM24">#REF!</definedName>
    <definedName name="TABMM3">#REF!</definedName>
    <definedName name="TABMM4">#REF!</definedName>
    <definedName name="TMM">#REF!</definedName>
    <definedName name="ultima">#REF!</definedName>
    <definedName name="Anexo3" localSheetId="1">#REF!</definedName>
    <definedName name="Anexo4" localSheetId="1">#REF!</definedName>
    <definedName name="anexo5" localSheetId="1">#REF!</definedName>
    <definedName name="Anexo6" localSheetId="1">#REF!</definedName>
    <definedName name="equipe" localSheetId="1">#REF!</definedName>
    <definedName name="Formatação" localSheetId="1">#REF!</definedName>
    <definedName name="tabic" localSheetId="1">#REF!</definedName>
    <definedName name="TABMM" localSheetId="1">#REF!</definedName>
    <definedName name="TMM" localSheetId="1">#REF!</definedName>
    <definedName name="_xlnm._FilterDatabase" localSheetId="1" hidden="1">'ANEXO 2'!$A$12:$W$20</definedName>
    <definedName name="_xlnm.Print_Titles" localSheetId="1">'ANEXO 2'!$1:$12</definedName>
    <definedName name="_xlnm.Print_Area" localSheetId="1">'ANEXO 2'!$A$1:$W$27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16]d/m/yyyy"/>
    <numFmt numFmtId="165" formatCode="0.000%"/>
    <numFmt numFmtId="166" formatCode="&quot;R$ &quot;#,##0.00;[Red]&quot;-R$ &quot;#,##0.00"/>
    <numFmt numFmtId="167" formatCode="#,##0.00000000"/>
    <numFmt numFmtId="168" formatCode="&quot;R$ &quot;#,##0.00"/>
    <numFmt numFmtId="169" formatCode="_-&quot;R$ &quot;* #,##0.00_-;&quot;-R$ &quot;* #,##0.00_-;_-&quot;R$ &quot;* \-??_-;_-@_-"/>
    <numFmt numFmtId="170" formatCode="_-* #,##0.00_-;\-* #,##0.00_-;_-* \-??_-;_-@_-"/>
  </numFmts>
  <fonts count="15">
    <font>
      <name val="Calibri"/>
      <charset val="1"/>
      <family val="2"/>
      <color rgb="FF000000"/>
      <sz val="11"/>
    </font>
    <font>
      <name val="Arial Narrow"/>
      <charset val="1"/>
      <family val="2"/>
      <color rgb="FF000000"/>
      <sz val="9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  <font>
      <name val="Arial"/>
      <charset val="1"/>
      <family val="2"/>
      <sz val="9"/>
    </font>
    <font>
      <name val="Gadugi"/>
      <charset val="1"/>
      <family val="2"/>
      <b val="1"/>
      <sz val="11.5"/>
    </font>
    <font>
      <name val="Gadugi"/>
      <charset val="1"/>
      <family val="2"/>
      <b val="1"/>
      <color rgb="FF000000"/>
      <sz val="11.5"/>
    </font>
    <font>
      <name val="Gadugi"/>
      <charset val="1"/>
      <family val="2"/>
      <sz val="11.5"/>
    </font>
    <font>
      <name val="Arial Narrow"/>
      <charset val="1"/>
      <family val="2"/>
      <sz val="9"/>
    </font>
    <font>
      <name val="Kabel Bk BT"/>
      <charset val="1"/>
      <family val="2"/>
      <sz val="12"/>
    </font>
    <font>
      <name val="Arial Narrow"/>
      <charset val="1"/>
      <family val="2"/>
      <b val="1"/>
      <sz val="9"/>
    </font>
    <font>
      <name val="Arial Narrow"/>
      <charset val="1"/>
      <family val="2"/>
      <sz val="9"/>
      <u val="single"/>
    </font>
    <font>
      <name val="Arial Narrow"/>
      <charset val="1"/>
      <family val="2"/>
      <i val="1"/>
      <sz val="9"/>
    </font>
    <font>
      <name val="Arial Narrow"/>
      <charset val="1"/>
      <family val="2"/>
      <b val="1"/>
      <sz val="9"/>
      <u val="single"/>
    </font>
    <font>
      <name val="Calibri"/>
      <charset val="1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1">
    <xf numFmtId="0" fontId="14" fillId="0" borderId="0"/>
    <xf numFmtId="9" fontId="14" fillId="0" borderId="0"/>
    <xf numFmtId="169" fontId="14" fillId="0" borderId="0"/>
    <xf numFmtId="169" fontId="14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1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14" fillId="0" borderId="0"/>
    <xf numFmtId="0" fontId="3" fillId="0" borderId="0"/>
    <xf numFmtId="0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170" fontId="14" fillId="0" borderId="0"/>
    <xf numFmtId="170" fontId="14" fillId="0" borderId="0"/>
    <xf numFmtId="170" fontId="14" fillId="0" borderId="0"/>
  </cellStyleXfs>
  <cellXfs count="155">
    <xf numFmtId="0" fontId="0" fillId="0" borderId="0" pivotButton="0" quotePrefix="0" xfId="0"/>
    <xf numFmtId="4" fontId="7" fillId="0" borderId="3" applyAlignment="1" pivotButton="0" quotePrefix="0" xfId="6">
      <alignment horizontal="center"/>
    </xf>
    <xf numFmtId="0" fontId="12" fillId="2" borderId="6" applyAlignment="1" pivotButton="0" quotePrefix="0" xfId="6">
      <alignment horizontal="center" vertical="center"/>
    </xf>
    <xf numFmtId="0" fontId="12" fillId="2" borderId="6" applyAlignment="1" pivotButton="0" quotePrefix="0" xfId="6">
      <alignment horizontal="center"/>
    </xf>
    <xf numFmtId="164" fontId="5" fillId="2" borderId="1" applyAlignment="1" pivotButton="0" quotePrefix="0" xfId="6">
      <alignment horizontal="center" vertical="center" wrapText="1"/>
    </xf>
    <xf numFmtId="0" fontId="5" fillId="2" borderId="1" applyAlignment="1" pivotButton="0" quotePrefix="0" xfId="6">
      <alignment horizontal="center" vertical="center" wrapText="1"/>
    </xf>
    <xf numFmtId="4" fontId="5" fillId="2" borderId="1" applyAlignment="1" pivotButton="0" quotePrefix="0" xfId="6">
      <alignment horizontal="center" vertical="center" wrapText="1"/>
    </xf>
    <xf numFmtId="0" fontId="6" fillId="0" borderId="1" pivotButton="0" quotePrefix="0" xfId="0"/>
    <xf numFmtId="164" fontId="7" fillId="0" borderId="2" applyAlignment="1" pivotButton="0" quotePrefix="0" xfId="6">
      <alignment horizontal="center"/>
    </xf>
    <xf numFmtId="0" fontId="7" fillId="0" borderId="2" applyAlignment="1" pivotButton="0" quotePrefix="0" xfId="6">
      <alignment horizontal="left" vertical="center"/>
    </xf>
    <xf numFmtId="4" fontId="7" fillId="0" borderId="2" applyAlignment="1" pivotButton="0" quotePrefix="0" xfId="6">
      <alignment horizontal="right"/>
    </xf>
    <xf numFmtId="4" fontId="7" fillId="0" borderId="2" applyAlignment="1" pivotButton="0" quotePrefix="0" xfId="6">
      <alignment horizontal="center"/>
    </xf>
    <xf numFmtId="164" fontId="7" fillId="0" borderId="3" applyAlignment="1" pivotButton="0" quotePrefix="0" xfId="6">
      <alignment horizontal="center"/>
    </xf>
    <xf numFmtId="0" fontId="7" fillId="0" borderId="3" applyAlignment="1" pivotButton="0" quotePrefix="0" xfId="6">
      <alignment horizontal="left" vertical="center"/>
    </xf>
    <xf numFmtId="4" fontId="7" fillId="0" borderId="3" applyAlignment="1" pivotButton="0" quotePrefix="0" xfId="6">
      <alignment horizontal="right"/>
    </xf>
    <xf numFmtId="0" fontId="6" fillId="0" borderId="4" pivotButton="0" quotePrefix="0" xfId="0"/>
    <xf numFmtId="4" fontId="6" fillId="0" borderId="4" pivotButton="0" quotePrefix="0" xfId="0"/>
    <xf numFmtId="164" fontId="8" fillId="0" borderId="0" applyAlignment="1" pivotButton="0" quotePrefix="0" xfId="6">
      <alignment horizontal="center" vertical="center"/>
    </xf>
    <xf numFmtId="0" fontId="8" fillId="0" borderId="0" applyAlignment="1" pivotButton="0" quotePrefix="0" xfId="6">
      <alignment horizontal="left"/>
    </xf>
    <xf numFmtId="4" fontId="8" fillId="0" borderId="0" applyAlignment="1" pivotButton="0" quotePrefix="0" xfId="6">
      <alignment horizontal="right"/>
    </xf>
    <xf numFmtId="0" fontId="8" fillId="0" borderId="0" applyAlignment="1" pivotButton="0" quotePrefix="0" xfId="6">
      <alignment horizontal="right"/>
    </xf>
    <xf numFmtId="4" fontId="8" fillId="2" borderId="0" pivotButton="0" quotePrefix="0" xfId="6"/>
    <xf numFmtId="0" fontId="8" fillId="0" borderId="0" applyAlignment="1" pivotButton="0" quotePrefix="0" xfId="6">
      <alignment horizontal="center" vertical="center"/>
    </xf>
    <xf numFmtId="4" fontId="8" fillId="0" borderId="0" applyAlignment="1" pivotButton="0" quotePrefix="0" xfId="6">
      <alignment horizontal="right" vertical="center"/>
    </xf>
    <xf numFmtId="0" fontId="8" fillId="0" borderId="0" applyAlignment="1" pivotButton="0" quotePrefix="0" xfId="6">
      <alignment horizontal="right" vertical="center"/>
    </xf>
    <xf numFmtId="10" fontId="8" fillId="0" borderId="0" applyAlignment="1" pivotButton="0" quotePrefix="0" xfId="1">
      <alignment horizontal="center" vertical="center"/>
    </xf>
    <xf numFmtId="0" fontId="8" fillId="0" borderId="0" applyAlignment="1" pivotButton="0" quotePrefix="0" xfId="6">
      <alignment horizontal="left" vertical="center"/>
    </xf>
    <xf numFmtId="3" fontId="8" fillId="0" borderId="0" applyAlignment="1" pivotButton="0" quotePrefix="0" xfId="6">
      <alignment horizontal="center"/>
    </xf>
    <xf numFmtId="0" fontId="8" fillId="0" borderId="0" pivotButton="0" quotePrefix="0" xfId="6"/>
    <xf numFmtId="164" fontId="9" fillId="2" borderId="0" applyAlignment="1" pivotButton="0" quotePrefix="0" xfId="6">
      <alignment horizontal="left" vertical="center"/>
    </xf>
    <xf numFmtId="0" fontId="8" fillId="2" borderId="0" applyAlignment="1" pivotButton="0" quotePrefix="0" xfId="6">
      <alignment horizontal="left"/>
    </xf>
    <xf numFmtId="4" fontId="8" fillId="2" borderId="0" applyAlignment="1" pivotButton="0" quotePrefix="0" xfId="6">
      <alignment horizontal="right"/>
    </xf>
    <xf numFmtId="0" fontId="8" fillId="2" borderId="0" applyAlignment="1" pivotButton="0" quotePrefix="0" xfId="6">
      <alignment horizontal="right"/>
    </xf>
    <xf numFmtId="0" fontId="8" fillId="2" borderId="0" applyAlignment="1" pivotButton="0" quotePrefix="0" xfId="6">
      <alignment horizontal="center" vertical="center"/>
    </xf>
    <xf numFmtId="0" fontId="8" fillId="2" borderId="0" applyAlignment="1" pivotButton="0" quotePrefix="0" xfId="6">
      <alignment horizontal="center"/>
    </xf>
    <xf numFmtId="10" fontId="8" fillId="2" borderId="0" applyAlignment="1" pivotButton="0" quotePrefix="0" xfId="1">
      <alignment horizontal="center"/>
    </xf>
    <xf numFmtId="0" fontId="8" fillId="2" borderId="0" applyAlignment="1" pivotButton="0" quotePrefix="0" xfId="6">
      <alignment horizontal="left" vertical="center"/>
    </xf>
    <xf numFmtId="0" fontId="10" fillId="0" borderId="3" pivotButton="0" quotePrefix="0" xfId="6"/>
    <xf numFmtId="0" fontId="11" fillId="0" borderId="0" applyAlignment="1" pivotButton="0" quotePrefix="0" xfId="6">
      <alignment horizontal="left" vertical="center"/>
    </xf>
    <xf numFmtId="0" fontId="11" fillId="2" borderId="0" applyAlignment="1" pivotButton="0" quotePrefix="0" xfId="6">
      <alignment horizontal="left" vertical="center"/>
    </xf>
    <xf numFmtId="10" fontId="12" fillId="2" borderId="0" applyAlignment="1" pivotButton="0" quotePrefix="0" xfId="6">
      <alignment horizontal="left" vertical="center"/>
    </xf>
    <xf numFmtId="165" fontId="12" fillId="2" borderId="0" applyAlignment="1" pivotButton="0" quotePrefix="0" xfId="6">
      <alignment horizontal="right" vertical="center"/>
    </xf>
    <xf numFmtId="4" fontId="12" fillId="2" borderId="0" applyAlignment="1" pivotButton="0" quotePrefix="0" xfId="6">
      <alignment horizontal="right"/>
    </xf>
    <xf numFmtId="164" fontId="8" fillId="0" borderId="0" applyAlignment="1" pivotButton="0" quotePrefix="0" xfId="6">
      <alignment horizontal="left" vertical="center"/>
    </xf>
    <xf numFmtId="4" fontId="8" fillId="0" borderId="0" applyAlignment="1" pivotButton="0" quotePrefix="0" xfId="6">
      <alignment horizontal="left"/>
    </xf>
    <xf numFmtId="164" fontId="8" fillId="2" borderId="0" applyAlignment="1" pivotButton="0" quotePrefix="0" xfId="6">
      <alignment horizontal="left" vertical="center"/>
    </xf>
    <xf numFmtId="0" fontId="12" fillId="2" borderId="0" applyAlignment="1" pivotButton="0" quotePrefix="0" xfId="6">
      <alignment horizontal="left" vertical="center"/>
    </xf>
    <xf numFmtId="0" fontId="12" fillId="2" borderId="0" applyAlignment="1" pivotButton="0" quotePrefix="0" xfId="6">
      <alignment horizontal="right"/>
    </xf>
    <xf numFmtId="10" fontId="12" fillId="2" borderId="0" applyAlignment="1" pivotButton="0" quotePrefix="0" xfId="6">
      <alignment horizontal="right"/>
    </xf>
    <xf numFmtId="10" fontId="8" fillId="0" borderId="0" applyAlignment="1" pivotButton="0" quotePrefix="0" xfId="6">
      <alignment horizontal="right"/>
    </xf>
    <xf numFmtId="4" fontId="8" fillId="0" borderId="0" applyAlignment="1" pivotButton="0" quotePrefix="0" xfId="6">
      <alignment horizontal="left" vertical="center"/>
    </xf>
    <xf numFmtId="4" fontId="8" fillId="2" borderId="0" applyAlignment="1" pivotButton="0" quotePrefix="0" xfId="6">
      <alignment horizontal="right" vertical="center"/>
    </xf>
    <xf numFmtId="10" fontId="8" fillId="2" borderId="0" applyAlignment="1" pivotButton="0" quotePrefix="0" xfId="1">
      <alignment horizontal="center" vertical="center"/>
    </xf>
    <xf numFmtId="164" fontId="8" fillId="2" borderId="5" applyAlignment="1" pivotButton="0" quotePrefix="0" xfId="6">
      <alignment horizontal="left" vertical="center"/>
    </xf>
    <xf numFmtId="0" fontId="8" fillId="2" borderId="5" applyAlignment="1" pivotButton="0" quotePrefix="0" xfId="6">
      <alignment horizontal="left"/>
    </xf>
    <xf numFmtId="4" fontId="8" fillId="2" borderId="5" applyAlignment="1" pivotButton="0" quotePrefix="0" xfId="6">
      <alignment horizontal="right"/>
    </xf>
    <xf numFmtId="0" fontId="8" fillId="2" borderId="5" applyAlignment="1" pivotButton="0" quotePrefix="0" xfId="6">
      <alignment horizontal="right"/>
    </xf>
    <xf numFmtId="0" fontId="8" fillId="2" borderId="5" applyAlignment="1" pivotButton="0" quotePrefix="0" xfId="6">
      <alignment horizontal="center" vertical="center"/>
    </xf>
    <xf numFmtId="4" fontId="8" fillId="2" borderId="5" applyAlignment="1" pivotButton="0" quotePrefix="0" xfId="6">
      <alignment horizontal="right" vertical="center"/>
    </xf>
    <xf numFmtId="0" fontId="8" fillId="2" borderId="5" applyAlignment="1" pivotButton="0" quotePrefix="0" xfId="6">
      <alignment horizontal="right" vertical="center"/>
    </xf>
    <xf numFmtId="10" fontId="8" fillId="2" borderId="5" applyAlignment="1" pivotButton="0" quotePrefix="0" xfId="1">
      <alignment horizontal="center" vertical="center"/>
    </xf>
    <xf numFmtId="0" fontId="8" fillId="2" borderId="5" applyAlignment="1" pivotButton="0" quotePrefix="0" xfId="6">
      <alignment horizontal="left" vertical="center"/>
    </xf>
    <xf numFmtId="3" fontId="8" fillId="0" borderId="5" applyAlignment="1" pivotButton="0" quotePrefix="0" xfId="6">
      <alignment horizontal="center"/>
    </xf>
    <xf numFmtId="0" fontId="8" fillId="0" borderId="5" pivotButton="0" quotePrefix="0" xfId="6"/>
    <xf numFmtId="4" fontId="12" fillId="2" borderId="0" applyAlignment="1" pivotButton="0" quotePrefix="0" xfId="6">
      <alignment horizontal="center" vertical="center"/>
    </xf>
    <xf numFmtId="0" fontId="12" fillId="2" borderId="6" applyAlignment="1" pivotButton="0" quotePrefix="0" xfId="6">
      <alignment horizontal="center" vertical="center"/>
    </xf>
    <xf numFmtId="164" fontId="12" fillId="2" borderId="3" applyAlignment="1" pivotButton="0" quotePrefix="0" xfId="6">
      <alignment horizontal="center" vertical="center" wrapText="1"/>
    </xf>
    <xf numFmtId="0" fontId="12" fillId="2" borderId="3" applyAlignment="1" pivotButton="0" quotePrefix="0" xfId="6">
      <alignment horizontal="center" vertical="center" wrapText="1"/>
    </xf>
    <xf numFmtId="4" fontId="12" fillId="2" borderId="3" applyAlignment="1" pivotButton="0" quotePrefix="0" xfId="6">
      <alignment horizontal="center" vertical="center" wrapText="1"/>
    </xf>
    <xf numFmtId="4" fontId="12" fillId="2" borderId="7" applyAlignment="1" pivotButton="0" quotePrefix="0" xfId="6">
      <alignment horizontal="center" vertical="center" wrapText="1"/>
    </xf>
    <xf numFmtId="10" fontId="12" fillId="2" borderId="3" applyAlignment="1" pivotButton="0" quotePrefix="0" xfId="1">
      <alignment horizontal="center" vertical="center" wrapText="1"/>
    </xf>
    <xf numFmtId="3" fontId="12" fillId="0" borderId="0" applyAlignment="1" pivotButton="0" quotePrefix="0" xfId="6">
      <alignment horizontal="center" vertical="center" wrapText="1"/>
    </xf>
    <xf numFmtId="0" fontId="12" fillId="0" borderId="0" applyAlignment="1" pivotButton="0" quotePrefix="0" xfId="6">
      <alignment horizontal="center" vertical="center" wrapText="1"/>
    </xf>
    <xf numFmtId="164" fontId="8" fillId="0" borderId="3" applyAlignment="1" pivotButton="0" quotePrefix="0" xfId="6">
      <alignment horizontal="center"/>
    </xf>
    <xf numFmtId="0" fontId="8" fillId="0" borderId="3" applyAlignment="1" pivotButton="0" quotePrefix="0" xfId="6">
      <alignment horizontal="left" vertical="center"/>
    </xf>
    <xf numFmtId="4" fontId="8" fillId="0" borderId="3" applyAlignment="1" pivotButton="0" quotePrefix="0" xfId="6">
      <alignment horizontal="right"/>
    </xf>
    <xf numFmtId="4" fontId="8" fillId="2" borderId="3" applyAlignment="1" pivotButton="0" quotePrefix="0" xfId="6">
      <alignment horizontal="right"/>
    </xf>
    <xf numFmtId="4" fontId="8" fillId="2" borderId="7" applyAlignment="1" pivotButton="0" quotePrefix="0" xfId="6">
      <alignment horizontal="right"/>
    </xf>
    <xf numFmtId="0" fontId="10" fillId="3" borderId="3" applyAlignment="1" pivotButton="0" quotePrefix="0" xfId="6">
      <alignment horizontal="center" vertical="center"/>
    </xf>
    <xf numFmtId="4" fontId="10" fillId="3" borderId="3" applyAlignment="1" pivotButton="0" quotePrefix="0" xfId="6">
      <alignment horizontal="right" vertical="center"/>
    </xf>
    <xf numFmtId="4" fontId="8" fillId="2" borderId="3" applyAlignment="1" pivotButton="0" quotePrefix="0" xfId="6">
      <alignment horizontal="right" vertical="center"/>
    </xf>
    <xf numFmtId="10" fontId="8" fillId="2" borderId="3" applyAlignment="1" pivotButton="0" quotePrefix="0" xfId="1">
      <alignment horizontal="center" vertical="center"/>
    </xf>
    <xf numFmtId="0" fontId="8" fillId="2" borderId="3" applyAlignment="1" pivotButton="0" quotePrefix="0" xfId="6">
      <alignment horizontal="left" vertical="center"/>
    </xf>
    <xf numFmtId="4" fontId="8" fillId="2" borderId="3" applyAlignment="1" pivotButton="0" quotePrefix="0" xfId="6">
      <alignment horizontal="right" vertical="top"/>
    </xf>
    <xf numFmtId="4" fontId="8" fillId="3" borderId="3" applyAlignment="1" pivotButton="0" quotePrefix="0" xfId="6">
      <alignment horizontal="right"/>
    </xf>
    <xf numFmtId="4" fontId="8" fillId="0" borderId="0" pivotButton="0" quotePrefix="0" xfId="6"/>
    <xf numFmtId="0" fontId="8" fillId="3" borderId="3" applyAlignment="1" pivotButton="0" quotePrefix="0" xfId="6">
      <alignment horizontal="center" vertical="center"/>
    </xf>
    <xf numFmtId="4" fontId="8" fillId="3" borderId="3" applyAlignment="1" pivotButton="0" quotePrefix="0" xfId="6">
      <alignment horizontal="right" vertical="center"/>
    </xf>
    <xf numFmtId="0" fontId="8" fillId="2" borderId="3" applyAlignment="1" pivotButton="0" quotePrefix="0" xfId="6">
      <alignment horizontal="right" vertical="top"/>
    </xf>
    <xf numFmtId="4" fontId="8" fillId="3" borderId="3" applyAlignment="1" pivotButton="0" quotePrefix="0" xfId="6">
      <alignment horizontal="right" vertical="top"/>
    </xf>
    <xf numFmtId="0" fontId="8" fillId="0" borderId="3" applyAlignment="1" pivotButton="0" quotePrefix="0" xfId="6">
      <alignment horizontal="center" vertical="center"/>
    </xf>
    <xf numFmtId="4" fontId="8" fillId="0" borderId="3" applyAlignment="1" pivotButton="0" quotePrefix="0" xfId="6">
      <alignment horizontal="right" vertical="top"/>
    </xf>
    <xf numFmtId="166" fontId="8" fillId="0" borderId="0" pivotButton="0" quotePrefix="0" xfId="6"/>
    <xf numFmtId="10" fontId="8" fillId="0" borderId="0" pivotButton="0" quotePrefix="0" xfId="6"/>
    <xf numFmtId="10" fontId="8" fillId="0" borderId="3" applyAlignment="1" pivotButton="0" quotePrefix="0" xfId="1">
      <alignment horizontal="center" vertical="center"/>
    </xf>
    <xf numFmtId="164" fontId="8" fillId="2" borderId="0" applyAlignment="1" pivotButton="0" quotePrefix="0" xfId="6">
      <alignment horizontal="center" vertical="center"/>
    </xf>
    <xf numFmtId="0" fontId="12" fillId="2" borderId="8" applyAlignment="1" pivotButton="0" quotePrefix="0" xfId="6">
      <alignment horizontal="left"/>
    </xf>
    <xf numFmtId="4" fontId="12" fillId="2" borderId="9" applyAlignment="1" pivotButton="0" quotePrefix="0" xfId="6">
      <alignment horizontal="right"/>
    </xf>
    <xf numFmtId="0" fontId="12" fillId="2" borderId="9" applyAlignment="1" pivotButton="0" quotePrefix="0" xfId="6">
      <alignment horizontal="right"/>
    </xf>
    <xf numFmtId="4" fontId="12" fillId="2" borderId="7" applyAlignment="1" pivotButton="0" quotePrefix="0" xfId="6">
      <alignment horizontal="right"/>
    </xf>
    <xf numFmtId="0" fontId="12" fillId="2" borderId="10" applyAlignment="1" pivotButton="0" quotePrefix="0" xfId="6">
      <alignment horizontal="center" vertical="center"/>
    </xf>
    <xf numFmtId="4" fontId="12" fillId="2" borderId="6" applyAlignment="1" pivotButton="0" quotePrefix="0" xfId="6">
      <alignment horizontal="right" vertical="center"/>
    </xf>
    <xf numFmtId="0" fontId="12" fillId="2" borderId="6" applyAlignment="1" pivotButton="0" quotePrefix="0" xfId="6">
      <alignment horizontal="right" vertical="center"/>
    </xf>
    <xf numFmtId="10" fontId="12" fillId="2" borderId="6" applyAlignment="1" pivotButton="0" quotePrefix="0" xfId="1">
      <alignment horizontal="center" vertical="center"/>
    </xf>
    <xf numFmtId="0" fontId="12" fillId="2" borderId="6" applyAlignment="1" pivotButton="0" quotePrefix="0" xfId="6">
      <alignment horizontal="left" vertical="center"/>
    </xf>
    <xf numFmtId="0" fontId="12" fillId="2" borderId="11" applyAlignment="1" pivotButton="0" quotePrefix="0" xfId="6">
      <alignment horizontal="right" vertical="center"/>
    </xf>
    <xf numFmtId="4" fontId="8" fillId="2" borderId="12" applyAlignment="1" pivotButton="0" quotePrefix="0" xfId="6">
      <alignment horizontal="right"/>
    </xf>
    <xf numFmtId="4" fontId="8" fillId="2" borderId="0" applyAlignment="1" pivotButton="0" quotePrefix="0" xfId="6">
      <alignment horizontal="right" vertical="top"/>
    </xf>
    <xf numFmtId="0" fontId="8" fillId="2" borderId="0" applyAlignment="1" pivotButton="0" quotePrefix="0" xfId="6">
      <alignment horizontal="right" vertical="center"/>
    </xf>
    <xf numFmtId="0" fontId="12" fillId="2" borderId="6" applyAlignment="1" pivotButton="0" quotePrefix="0" xfId="6">
      <alignment horizontal="left"/>
    </xf>
    <xf numFmtId="4" fontId="12" fillId="2" borderId="6" applyAlignment="1" pivotButton="0" quotePrefix="0" xfId="6">
      <alignment horizontal="right"/>
    </xf>
    <xf numFmtId="0" fontId="12" fillId="2" borderId="6" applyAlignment="1" pivotButton="0" quotePrefix="0" xfId="6">
      <alignment horizontal="right"/>
    </xf>
    <xf numFmtId="4" fontId="12" fillId="2" borderId="6" pivotButton="0" quotePrefix="0" xfId="6"/>
    <xf numFmtId="0" fontId="8" fillId="2" borderId="6" applyAlignment="1" pivotButton="0" quotePrefix="0" xfId="6">
      <alignment horizontal="left"/>
    </xf>
    <xf numFmtId="166" fontId="12" fillId="2" borderId="6" applyAlignment="1" pivotButton="0" quotePrefix="0" xfId="6">
      <alignment horizontal="right" vertical="center"/>
    </xf>
    <xf numFmtId="0" fontId="8" fillId="2" borderId="6" applyAlignment="1" pivotButton="0" quotePrefix="0" xfId="6">
      <alignment horizontal="left" vertical="center"/>
    </xf>
    <xf numFmtId="166" fontId="13" fillId="2" borderId="6" applyAlignment="1" pivotButton="0" quotePrefix="0" xfId="6">
      <alignment horizontal="right"/>
    </xf>
    <xf numFmtId="164" fontId="8" fillId="2" borderId="6" applyAlignment="1" pivotButton="0" quotePrefix="0" xfId="25">
      <alignment horizontal="left" vertical="center"/>
    </xf>
    <xf numFmtId="4" fontId="8" fillId="2" borderId="6" applyAlignment="1" pivotButton="0" quotePrefix="0" xfId="25">
      <alignment vertical="center"/>
    </xf>
    <xf numFmtId="4" fontId="8" fillId="2" borderId="6" applyAlignment="1" pivotButton="0" quotePrefix="0" xfId="25">
      <alignment horizontal="right" vertical="center"/>
    </xf>
    <xf numFmtId="167" fontId="8" fillId="2" borderId="6" applyAlignment="1" pivotButton="0" quotePrefix="0" xfId="25">
      <alignment vertical="center"/>
    </xf>
    <xf numFmtId="167" fontId="8" fillId="2" borderId="6" applyAlignment="1" pivotButton="0" quotePrefix="0" xfId="25">
      <alignment horizontal="right" vertical="center"/>
    </xf>
    <xf numFmtId="0" fontId="7" fillId="0" borderId="0" pivotButton="0" quotePrefix="0" xfId="6"/>
    <xf numFmtId="167" fontId="8" fillId="2" borderId="0" applyAlignment="1" pivotButton="0" quotePrefix="0" xfId="25">
      <alignment vertical="center"/>
    </xf>
    <xf numFmtId="4" fontId="8" fillId="2" borderId="0" applyAlignment="1" pivotButton="0" quotePrefix="0" xfId="25">
      <alignment vertical="center"/>
    </xf>
    <xf numFmtId="164" fontId="7" fillId="0" borderId="0" pivotButton="0" quotePrefix="0" xfId="6"/>
    <xf numFmtId="167" fontId="13" fillId="2" borderId="6" applyAlignment="1" pivotButton="0" quotePrefix="0" xfId="25">
      <alignment vertical="center"/>
    </xf>
    <xf numFmtId="168" fontId="13" fillId="2" borderId="6" applyAlignment="1" pivotButton="0" quotePrefix="0" xfId="25">
      <alignment vertical="center"/>
    </xf>
    <xf numFmtId="167" fontId="12" fillId="2" borderId="6" applyAlignment="1" pivotButton="0" quotePrefix="0" xfId="25">
      <alignment vertical="center"/>
    </xf>
    <xf numFmtId="0" fontId="12" fillId="2" borderId="0" applyAlignment="1" pivotButton="0" quotePrefix="0" xfId="25">
      <alignment horizontal="left"/>
    </xf>
    <xf numFmtId="164" fontId="5" fillId="2" borderId="1" applyAlignment="1" pivotButton="0" quotePrefix="0" xfId="6">
      <alignment horizontal="center" vertical="center" wrapText="1"/>
    </xf>
    <xf numFmtId="164" fontId="7" fillId="0" borderId="2" applyAlignment="1" pivotButton="0" quotePrefix="0" xfId="6">
      <alignment horizontal="center"/>
    </xf>
    <xf numFmtId="164" fontId="7" fillId="0" borderId="3" applyAlignment="1" pivotButton="0" quotePrefix="0" xfId="6">
      <alignment horizontal="center"/>
    </xf>
    <xf numFmtId="0" fontId="0" fillId="0" borderId="2" pivotButton="0" quotePrefix="0" xfId="0"/>
    <xf numFmtId="164" fontId="8" fillId="0" borderId="0" applyAlignment="1" pivotButton="0" quotePrefix="0" xfId="6">
      <alignment horizontal="center" vertical="center"/>
    </xf>
    <xf numFmtId="164" fontId="9" fillId="2" borderId="0" applyAlignment="1" pivotButton="0" quotePrefix="0" xfId="6">
      <alignment horizontal="left" vertical="center"/>
    </xf>
    <xf numFmtId="165" fontId="12" fillId="2" borderId="0" applyAlignment="1" pivotButton="0" quotePrefix="0" xfId="6">
      <alignment horizontal="right" vertical="center"/>
    </xf>
    <xf numFmtId="164" fontId="8" fillId="0" borderId="0" applyAlignment="1" pivotButton="0" quotePrefix="0" xfId="6">
      <alignment horizontal="left" vertical="center"/>
    </xf>
    <xf numFmtId="164" fontId="8" fillId="2" borderId="0" applyAlignment="1" pivotButton="0" quotePrefix="0" xfId="6">
      <alignment horizontal="left" vertical="center"/>
    </xf>
    <xf numFmtId="164" fontId="8" fillId="2" borderId="5" applyAlignment="1" pivotButton="0" quotePrefix="0" xfId="6">
      <alignment horizontal="left" vertical="center"/>
    </xf>
    <xf numFmtId="0" fontId="0" fillId="0" borderId="6" pivotButton="0" quotePrefix="0" xfId="0"/>
    <xf numFmtId="164" fontId="12" fillId="2" borderId="3" applyAlignment="1" pivotButton="0" quotePrefix="0" xfId="6">
      <alignment horizontal="center" vertical="center" wrapText="1"/>
    </xf>
    <xf numFmtId="164" fontId="8" fillId="0" borderId="3" applyAlignment="1" pivotButton="0" quotePrefix="0" xfId="6">
      <alignment horizontal="center"/>
    </xf>
    <xf numFmtId="166" fontId="8" fillId="0" borderId="0" pivotButton="0" quotePrefix="0" xfId="6"/>
    <xf numFmtId="164" fontId="8" fillId="2" borderId="0" applyAlignment="1" pivotButton="0" quotePrefix="0" xfId="6">
      <alignment horizontal="center" vertical="center"/>
    </xf>
    <xf numFmtId="166" fontId="12" fillId="2" borderId="6" applyAlignment="1" pivotButton="0" quotePrefix="0" xfId="6">
      <alignment horizontal="right" vertical="center"/>
    </xf>
    <xf numFmtId="166" fontId="13" fillId="2" borderId="6" applyAlignment="1" pivotButton="0" quotePrefix="0" xfId="6">
      <alignment horizontal="right"/>
    </xf>
    <xf numFmtId="164" fontId="8" fillId="2" borderId="6" applyAlignment="1" pivotButton="0" quotePrefix="0" xfId="25">
      <alignment horizontal="left" vertical="center"/>
    </xf>
    <xf numFmtId="167" fontId="8" fillId="2" borderId="6" applyAlignment="1" pivotButton="0" quotePrefix="0" xfId="25">
      <alignment vertical="center"/>
    </xf>
    <xf numFmtId="167" fontId="8" fillId="2" borderId="6" applyAlignment="1" pivotButton="0" quotePrefix="0" xfId="25">
      <alignment horizontal="right" vertical="center"/>
    </xf>
    <xf numFmtId="167" fontId="8" fillId="2" borderId="0" applyAlignment="1" pivotButton="0" quotePrefix="0" xfId="25">
      <alignment vertical="center"/>
    </xf>
    <xf numFmtId="167" fontId="13" fillId="2" borderId="6" applyAlignment="1" pivotButton="0" quotePrefix="0" xfId="25">
      <alignment vertical="center"/>
    </xf>
    <xf numFmtId="168" fontId="13" fillId="2" borderId="6" applyAlignment="1" pivotButton="0" quotePrefix="0" xfId="25">
      <alignment vertical="center"/>
    </xf>
    <xf numFmtId="167" fontId="12" fillId="2" borderId="6" applyAlignment="1" pivotButton="0" quotePrefix="0" xfId="25">
      <alignment vertical="center"/>
    </xf>
    <xf numFmtId="164" fontId="7" fillId="0" borderId="0" pivotButton="0" quotePrefix="0" xfId="6"/>
  </cellXfs>
  <cellStyles count="41">
    <cellStyle name="Normal" xfId="0" builtinId="0"/>
    <cellStyle name="Porcentagem" xfId="1" builtinId="5"/>
    <cellStyle name="Moeda 2" xfId="2"/>
    <cellStyle name="Moeda 3" xfId="3"/>
    <cellStyle name="Normal 2" xfId="4"/>
    <cellStyle name="Normal 2 2" xfId="5"/>
    <cellStyle name="Normal 2 3" xfId="6"/>
    <cellStyle name="Normal 2 3 2" xfId="7"/>
    <cellStyle name="Normal 2 3 3" xfId="8"/>
    <cellStyle name="Normal 2 5 3" xfId="9"/>
    <cellStyle name="Normal 2 6" xfId="10"/>
    <cellStyle name="Normal 2 7" xfId="11"/>
    <cellStyle name="Normal 3" xfId="12"/>
    <cellStyle name="Normal 3 2 2" xfId="13"/>
    <cellStyle name="Normal 3 2 3" xfId="14"/>
    <cellStyle name="Normal 3 3 2 2" xfId="15"/>
    <cellStyle name="Normal 3 3 2 2 3" xfId="16"/>
    <cellStyle name="Normal 3 3 2 3" xfId="17"/>
    <cellStyle name="Normal 3 4" xfId="18"/>
    <cellStyle name="Normal 3 4 2" xfId="19"/>
    <cellStyle name="Normal 4" xfId="20"/>
    <cellStyle name="Normal 4 2" xfId="21"/>
    <cellStyle name="Normal 4 4" xfId="22"/>
    <cellStyle name="Normal 5" xfId="23"/>
    <cellStyle name="Normal 6" xfId="24"/>
    <cellStyle name="Normal 6 2" xfId="25"/>
    <cellStyle name="Normal 7" xfId="26"/>
    <cellStyle name="Normal 7 2" xfId="27"/>
    <cellStyle name="Normal 8" xfId="28"/>
    <cellStyle name="Normal 8 2" xfId="29"/>
    <cellStyle name="Porcentagem 2" xfId="30"/>
    <cellStyle name="Porcentagem 2 2" xfId="31"/>
    <cellStyle name="Porcentagem 2 3" xfId="32"/>
    <cellStyle name="Porcentagem 3" xfId="33"/>
    <cellStyle name="Porcentagem 3 2" xfId="34"/>
    <cellStyle name="Porcentagem 3 3" xfId="35"/>
    <cellStyle name="Porcentagem 3 4" xfId="36"/>
    <cellStyle name="Porcentagem 4" xfId="37"/>
    <cellStyle name="Vírgula 2" xfId="38"/>
    <cellStyle name="Vírgula 2 2" xfId="39"/>
    <cellStyle name="Vírgula 2 3" xfId="4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F9:I13"/>
  <sheetViews>
    <sheetView view="pageBreakPreview" zoomScaleNormal="100" workbookViewId="0">
      <selection activeCell="F9" activeCellId="1" sqref="A20:XFD57 F9"/>
    </sheetView>
  </sheetViews>
  <sheetFormatPr baseColWidth="8" defaultColWidth="8.7109375" defaultRowHeight="15"/>
  <cols>
    <col width="11.85546875" customWidth="1" min="6" max="6"/>
    <col width="25.28515625" customWidth="1" min="7" max="7"/>
    <col width="11.85546875" customWidth="1" min="9" max="9"/>
  </cols>
  <sheetData>
    <row r="9">
      <c r="F9" s="130" t="inlineStr">
        <is>
          <t xml:space="preserve"> Data</t>
        </is>
      </c>
      <c r="G9" s="5" t="inlineStr">
        <is>
          <t>Histórico</t>
        </is>
      </c>
      <c r="H9" s="6" t="inlineStr">
        <is>
          <t>Débito</t>
        </is>
      </c>
      <c r="I9" s="7" t="inlineStr">
        <is>
          <t>Subtotal</t>
        </is>
      </c>
    </row>
    <row r="10">
      <c r="F10" s="131" t="n">
        <v>44739</v>
      </c>
      <c r="G10" s="9" t="inlineStr">
        <is>
          <t>ESTUDO DA OPERACAO</t>
        </is>
      </c>
      <c r="H10" s="10" t="n">
        <v>1146.81</v>
      </c>
      <c r="I10" s="11">
        <f>H10</f>
        <v/>
      </c>
    </row>
    <row r="11">
      <c r="F11" s="132" t="n">
        <v>44740</v>
      </c>
      <c r="G11" s="13" t="inlineStr">
        <is>
          <t>SEGURO PENHOR RURAL</t>
        </is>
      </c>
      <c r="H11" s="14" t="n">
        <v>2162.03</v>
      </c>
      <c r="I11" s="1">
        <f>H11+H12</f>
        <v/>
      </c>
    </row>
    <row r="12">
      <c r="F12" s="132" t="n">
        <v>45111</v>
      </c>
      <c r="G12" s="13" t="inlineStr">
        <is>
          <t>SEGURO PENHOR RURAL</t>
        </is>
      </c>
      <c r="H12" s="14" t="n">
        <v>1931.02</v>
      </c>
      <c r="I12" s="133" t="n"/>
    </row>
    <row r="13">
      <c r="F13" s="15" t="inlineStr">
        <is>
          <t>Total</t>
        </is>
      </c>
      <c r="G13" s="15" t="n"/>
      <c r="H13" s="15" t="n"/>
      <c r="I13" s="16">
        <f>SUM(I10:I12)</f>
        <v/>
      </c>
    </row>
  </sheetData>
  <mergeCells count="1">
    <mergeCell ref="I11:I12"/>
  </mergeCells>
  <pageMargins left="0.511805555555555" right="0.511805555555555" top="0.7875" bottom="0.78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E148"/>
  <sheetViews>
    <sheetView showGridLines="0" tabSelected="1" view="pageBreakPreview" zoomScaleNormal="100" workbookViewId="0">
      <selection activeCell="K38" sqref="K38"/>
    </sheetView>
  </sheetViews>
  <sheetFormatPr baseColWidth="8" defaultColWidth="9.140625" defaultRowHeight="15"/>
  <cols>
    <col width="10.5703125" customWidth="1" style="134" min="1" max="1"/>
    <col width="20.28515625" customWidth="1" style="18" min="2" max="2"/>
    <col width="10.140625" customWidth="1" style="19" min="3" max="3"/>
    <col width="10.42578125" customWidth="1" style="20" min="4" max="4"/>
    <col width="9.5703125" customWidth="1" style="19" min="5" max="5"/>
    <col width="1" customWidth="1" style="21" min="6" max="6"/>
    <col width="9" customWidth="1" style="22" min="7" max="7"/>
    <col width="12.85546875" customWidth="1" style="22" min="8" max="8"/>
    <col width="9.7109375" customWidth="1" style="23" min="9" max="9"/>
    <col width="8.28515625" customWidth="1" style="23" min="10" max="10"/>
    <col width="10.7109375" customWidth="1" style="24" min="11" max="11"/>
    <col width="10.7109375" customWidth="1" style="23" min="12" max="12"/>
    <col width="10.7109375" customWidth="1" style="25" min="13" max="13"/>
    <col width="10.7109375" customWidth="1" style="22" min="14" max="14"/>
    <col width="66.42578125" customWidth="1" style="26" min="15" max="15"/>
    <col width="10.7109375" customWidth="1" style="20" min="16" max="16"/>
    <col width="10.7109375" customWidth="1" style="19" min="17" max="18"/>
    <col hidden="1" width="10.7109375" customWidth="1" style="19" min="19" max="20"/>
    <col width="10.7109375" customWidth="1" style="19" min="21" max="22"/>
    <col width="10.7109375" customWidth="1" style="20" min="23" max="23"/>
    <col width="6.5703125" customWidth="1" style="27" min="24" max="24"/>
    <col width="9.140625" customWidth="1" style="28" min="25" max="1025"/>
  </cols>
  <sheetData>
    <row r="1">
      <c r="A1" s="135" t="inlineStr">
        <is>
          <t>Recálculo da operação nº 159.789.999-10 - Capitalização Afastada</t>
        </is>
      </c>
      <c r="B1" s="30" t="n"/>
      <c r="C1" s="31" t="n"/>
      <c r="D1" s="32" t="n"/>
      <c r="E1" s="31" t="n"/>
      <c r="G1" s="33" t="n"/>
      <c r="H1" s="34" t="n"/>
      <c r="I1" s="31" t="n"/>
      <c r="J1" s="31" t="n"/>
      <c r="K1" s="32" t="n"/>
      <c r="L1" s="31" t="n"/>
      <c r="M1" s="35" t="n"/>
      <c r="N1" s="34" t="n"/>
      <c r="O1" s="36" t="n"/>
      <c r="P1" s="32" t="n"/>
      <c r="Q1" s="31" t="n"/>
      <c r="R1" s="31" t="n"/>
      <c r="S1" s="31" t="n"/>
      <c r="T1" s="31" t="n"/>
      <c r="U1" s="31" t="n"/>
      <c r="V1" s="31" t="n"/>
      <c r="W1" s="32" t="n"/>
      <c r="Y1" s="28">
        <f>_xlfn.SHEET()</f>
        <v/>
      </c>
      <c r="Z1" s="28" t="inlineStr">
        <is>
          <t>Operação:</t>
        </is>
      </c>
      <c r="AA1" s="37" t="inlineStr">
        <is>
          <t>409.906.274</t>
        </is>
      </c>
      <c r="AB1" s="28" t="inlineStr">
        <is>
          <t>Semestral</t>
        </is>
      </c>
      <c r="AC1" s="28" t="inlineStr">
        <is>
          <t>no vencimento da parcela</t>
        </is>
      </c>
      <c r="AD1" s="28" t="inlineStr">
        <is>
          <t>Afastada</t>
        </is>
      </c>
      <c r="AE1" s="28" t="inlineStr">
        <is>
          <t>Mensal</t>
        </is>
      </c>
    </row>
    <row r="2">
      <c r="A2" s="38" t="inlineStr">
        <is>
          <t>Informações contratuais</t>
        </is>
      </c>
      <c r="G2" s="33" t="n"/>
      <c r="H2" s="34" t="n"/>
      <c r="I2" s="31" t="n"/>
      <c r="J2" s="31" t="n"/>
      <c r="K2" s="39" t="inlineStr">
        <is>
          <t xml:space="preserve">Informações do Recálculo </t>
        </is>
      </c>
      <c r="L2" s="31" t="n"/>
      <c r="M2" s="35" t="n"/>
      <c r="N2" s="34" t="n"/>
      <c r="O2" s="40" t="n"/>
      <c r="P2" s="136" t="n"/>
      <c r="Q2" s="42" t="n"/>
      <c r="R2" s="42" t="n"/>
      <c r="S2" s="42" t="n"/>
      <c r="T2" s="42" t="n"/>
      <c r="U2" s="42" t="n"/>
      <c r="V2" s="31" t="n"/>
      <c r="W2" s="32" t="n"/>
      <c r="Z2" s="28" t="inlineStr">
        <is>
          <t>Cap. a aplicar:</t>
        </is>
      </c>
      <c r="AA2" s="37">
        <f>AD1</f>
        <v/>
      </c>
      <c r="AB2" s="28" t="inlineStr">
        <is>
          <t>Aplicação da capitalização semestral dos juros remuneratórios de normalidade</t>
        </is>
      </c>
      <c r="AC2" s="28" t="inlineStr">
        <is>
          <t>Aplicação da capitalização dos juros remuneratórios de normalidade no vencimento das parcelas</t>
        </is>
      </c>
      <c r="AD2" s="28" t="inlineStr">
        <is>
          <t>Afastamento da capitalização de juros remuneratórios de normalidade</t>
        </is>
      </c>
      <c r="AE2" s="28" t="inlineStr">
        <is>
          <t>Aplicação da capitalização mensal dos juros remuneratórios de normalidade</t>
        </is>
      </c>
    </row>
    <row r="3">
      <c r="A3" s="137" t="inlineStr">
        <is>
          <t>Valor Liberado:</t>
        </is>
      </c>
      <c r="B3" s="44" t="n">
        <v>120000</v>
      </c>
      <c r="C3" s="137" t="inlineStr">
        <is>
          <t>Dias Corridos</t>
        </is>
      </c>
      <c r="G3" s="33" t="n"/>
      <c r="H3" s="34" t="n"/>
      <c r="I3" s="31" t="n"/>
      <c r="J3" s="31" t="n"/>
      <c r="K3" s="138">
        <f>HLOOKUP(AA2,$AB$1:$AE$2,2,)</f>
        <v/>
      </c>
      <c r="L3" s="31" t="n"/>
      <c r="M3" s="35" t="n"/>
      <c r="N3" s="34" t="n"/>
      <c r="O3" s="46" t="n"/>
      <c r="P3" s="47" t="n"/>
      <c r="Q3" s="48" t="n"/>
      <c r="R3" s="48" t="n"/>
      <c r="S3" s="48" t="n"/>
      <c r="T3" s="48" t="n"/>
      <c r="U3" s="48" t="n"/>
      <c r="V3" s="31" t="n"/>
      <c r="W3" s="32" t="n"/>
      <c r="Z3" s="37" t="inlineStr">
        <is>
          <t>Execução</t>
        </is>
      </c>
      <c r="AA3" s="28">
        <f>IF(Z3="Execução","executado","cobrado")</f>
        <v/>
      </c>
      <c r="AB3" s="28">
        <f>IF(Z3="execução","execução","cobrança")</f>
        <v/>
      </c>
    </row>
    <row r="4">
      <c r="A4" s="137" t="inlineStr">
        <is>
          <t>Valor IOF:</t>
        </is>
      </c>
      <c r="B4" s="44">
        <f>SUMIF($B$13:$B$19,#REF!,$C$13:$C$19)</f>
        <v/>
      </c>
      <c r="C4" s="44" t="inlineStr">
        <is>
          <t>Taxa de juros:</t>
        </is>
      </c>
      <c r="D4" s="49" t="n">
        <v>12</v>
      </c>
      <c r="E4" s="50" t="inlineStr">
        <is>
          <t xml:space="preserve"> a.a.</t>
        </is>
      </c>
      <c r="G4" s="33" t="n"/>
      <c r="H4" s="33" t="n"/>
      <c r="I4" s="51" t="n"/>
      <c r="J4" s="51" t="n"/>
      <c r="K4" s="26" t="inlineStr">
        <is>
          <t>Estorno da cobrança de Tarifa de Estudo de Operações e Seguro Penhor</t>
        </is>
      </c>
      <c r="L4" s="51" t="n"/>
      <c r="M4" s="52" t="n"/>
      <c r="N4" s="33" t="n"/>
      <c r="O4" s="46" t="n"/>
      <c r="P4" s="47" t="n"/>
      <c r="Q4" s="48" t="n"/>
      <c r="R4" s="48" t="n"/>
      <c r="S4" s="48" t="n"/>
      <c r="T4" s="48" t="n"/>
      <c r="U4" s="48" t="n"/>
      <c r="V4" s="31" t="n"/>
      <c r="W4" s="32" t="n"/>
    </row>
    <row r="5">
      <c r="A5" s="28" t="inlineStr">
        <is>
          <t>Capitaliz. Jur.:</t>
        </is>
      </c>
      <c r="B5" s="44" t="inlineStr">
        <is>
          <t>Não pactuada</t>
        </is>
      </c>
      <c r="D5" s="49">
        <f>(1+D4)^(1/12)-1</f>
        <v/>
      </c>
      <c r="E5" s="50" t="inlineStr">
        <is>
          <t>a.m.</t>
        </is>
      </c>
      <c r="G5" s="33" t="n"/>
      <c r="H5" s="33" t="n"/>
      <c r="I5" s="51" t="n"/>
      <c r="J5" s="51" t="n"/>
      <c r="K5" s="137" t="inlineStr">
        <is>
          <t>Descaracterização da mora</t>
        </is>
      </c>
      <c r="L5" s="51" t="n"/>
      <c r="M5" s="52" t="n"/>
      <c r="N5" s="33" t="n"/>
      <c r="O5" s="36" t="n"/>
      <c r="P5" s="32" t="n"/>
      <c r="Q5" s="31" t="n"/>
      <c r="R5" s="31" t="n"/>
      <c r="S5" s="31" t="n"/>
      <c r="T5" s="31" t="n"/>
      <c r="U5" s="31" t="n"/>
      <c r="V5" s="31" t="n"/>
      <c r="W5" s="32" t="n"/>
    </row>
    <row r="6" ht="13.5" customHeight="1">
      <c r="A6" s="137" t="inlineStr">
        <is>
          <t>Seguro penhor:</t>
        </is>
      </c>
      <c r="B6" s="44">
        <f>SUMIF($B$13:$B$19,#REF!,$C$13:$C$19)</f>
        <v/>
      </c>
      <c r="C6" s="137" t="inlineStr">
        <is>
          <t>Tarifa:</t>
        </is>
      </c>
      <c r="D6" s="44">
        <f>SUMIF($B$13:$B$19,#REF!,$C$13:$C$19)</f>
        <v/>
      </c>
      <c r="E6" s="50" t="n"/>
      <c r="K6" s="138" t="n"/>
    </row>
    <row r="7" hidden="1" ht="13.5" customHeight="1">
      <c r="A7" s="137" t="inlineStr">
        <is>
          <t>Seguro de vida:</t>
        </is>
      </c>
      <c r="B7" s="44" t="n">
        <v>0</v>
      </c>
      <c r="D7" s="49" t="n"/>
      <c r="E7" s="50" t="n"/>
      <c r="K7" s="138" t="n"/>
    </row>
    <row r="8" hidden="1" ht="13.5" customHeight="1">
      <c r="A8" s="137" t="inlineStr">
        <is>
          <t>Seguro agrícola:</t>
        </is>
      </c>
      <c r="B8" s="44" t="n">
        <v>0</v>
      </c>
      <c r="D8" s="49" t="n"/>
      <c r="E8" s="50" t="n"/>
      <c r="K8" s="138" t="n"/>
    </row>
    <row r="9" hidden="1" ht="13.5" customHeight="1">
      <c r="C9" s="28" t="n"/>
      <c r="D9" s="28" t="n"/>
      <c r="E9" s="28" t="n"/>
    </row>
    <row r="10" ht="5.25" customFormat="1" customHeight="1" s="63">
      <c r="A10" s="139" t="n"/>
      <c r="B10" s="54" t="n"/>
      <c r="C10" s="55" t="n"/>
      <c r="D10" s="56" t="n"/>
      <c r="E10" s="55" t="n"/>
      <c r="F10" s="21" t="n"/>
      <c r="G10" s="57" t="n"/>
      <c r="H10" s="57" t="n"/>
      <c r="I10" s="58" t="n"/>
      <c r="J10" s="58" t="n"/>
      <c r="K10" s="59" t="n"/>
      <c r="L10" s="58" t="n"/>
      <c r="M10" s="60" t="n"/>
      <c r="N10" s="57" t="n"/>
      <c r="O10" s="61" t="n"/>
      <c r="P10" s="56" t="n"/>
      <c r="Q10" s="55" t="n"/>
      <c r="R10" s="55" t="n"/>
      <c r="S10" s="55" t="n"/>
      <c r="T10" s="55" t="n"/>
      <c r="U10" s="55" t="n"/>
      <c r="V10" s="55" t="n"/>
      <c r="W10" s="56" t="n"/>
      <c r="X10" s="62" t="n"/>
    </row>
    <row r="11">
      <c r="A11" s="3" t="inlineStr">
        <is>
          <t>COLUNAS CONFORME EXTRATOS</t>
        </is>
      </c>
      <c r="B11" s="140" t="n"/>
      <c r="C11" s="140" t="n"/>
      <c r="D11" s="140" t="n"/>
      <c r="E11" s="140" t="n"/>
      <c r="F11" s="64" t="n"/>
      <c r="G11" s="65" t="inlineStr">
        <is>
          <t>COLUNAS ELABORADAS PELO ASSISTENTE TÉCNICO</t>
        </is>
      </c>
      <c r="H11" s="140" t="n"/>
      <c r="I11" s="140" t="n"/>
      <c r="J11" s="140" t="n"/>
      <c r="K11" s="140" t="n"/>
      <c r="L11" s="140" t="n"/>
      <c r="M11" s="140" t="n"/>
      <c r="N11" s="140" t="n"/>
      <c r="O11" s="140" t="n"/>
      <c r="P11" s="140" t="n"/>
      <c r="Q11" s="140" t="n"/>
      <c r="R11" s="140" t="n"/>
      <c r="S11" s="140" t="n"/>
      <c r="T11" s="140" t="n"/>
      <c r="U11" s="140" t="n"/>
      <c r="V11" s="140" t="n"/>
      <c r="W11" s="140" t="n"/>
    </row>
    <row r="12" ht="27.75" customFormat="1" customHeight="1" s="72">
      <c r="A12" s="141" t="inlineStr">
        <is>
          <t xml:space="preserve"> Data</t>
        </is>
      </c>
      <c r="B12" s="67" t="inlineStr">
        <is>
          <t>Histórico</t>
        </is>
      </c>
      <c r="C12" s="68" t="inlineStr">
        <is>
          <t>Débito</t>
        </is>
      </c>
      <c r="D12" s="67" t="inlineStr">
        <is>
          <t>Crédito</t>
        </is>
      </c>
      <c r="E12" s="68" t="inlineStr">
        <is>
          <t>Saldo</t>
        </is>
      </c>
      <c r="F12" s="69" t="n"/>
      <c r="G12" s="67" t="inlineStr">
        <is>
          <t>Dias</t>
        </is>
      </c>
      <c r="H12" s="67" t="inlineStr">
        <is>
          <t>Dias Acum</t>
        </is>
      </c>
      <c r="I12" s="68" t="inlineStr">
        <is>
          <t>SN*D</t>
        </is>
      </c>
      <c r="J12" s="68" t="inlineStr">
        <is>
          <t>SNA</t>
        </is>
      </c>
      <c r="K12" s="67" t="inlineStr">
        <is>
          <t>SNM</t>
        </is>
      </c>
      <c r="L12" s="68" t="inlineStr">
        <is>
          <t>Juros</t>
        </is>
      </c>
      <c r="M12" s="70" t="inlineStr">
        <is>
          <t>Tx Mensal
Banco</t>
        </is>
      </c>
      <c r="N12" s="67" t="inlineStr">
        <is>
          <t>Tx Mensal
Média Merc</t>
        </is>
      </c>
      <c r="O12" s="67" t="inlineStr">
        <is>
          <t>Histórico</t>
        </is>
      </c>
      <c r="P12" s="67" t="inlineStr">
        <is>
          <t>Débito</t>
        </is>
      </c>
      <c r="Q12" s="68" t="inlineStr">
        <is>
          <t>Crédito</t>
        </is>
      </c>
      <c r="R12" s="68" t="inlineStr">
        <is>
          <t>Saldo</t>
        </is>
      </c>
      <c r="S12" s="68" t="inlineStr">
        <is>
          <t>SN*D</t>
        </is>
      </c>
      <c r="T12" s="68" t="inlineStr">
        <is>
          <t>SNA</t>
        </is>
      </c>
      <c r="U12" s="68" t="inlineStr">
        <is>
          <t>SNM</t>
        </is>
      </c>
      <c r="V12" s="68" t="inlineStr">
        <is>
          <t>Juros 
Recalculados</t>
        </is>
      </c>
      <c r="W12" s="67" t="inlineStr">
        <is>
          <t>Juros Recalc
Acumulados</t>
        </is>
      </c>
      <c r="X12" s="71" t="n"/>
    </row>
    <row r="13">
      <c r="A13" s="142" t="inlineStr">
        <is>
          <t>14/08/2017</t>
        </is>
      </c>
      <c r="B13" s="74" t="inlineStr">
        <is>
          <t>capital</t>
        </is>
      </c>
      <c r="C13" s="75" t="n">
        <v>56241.5</v>
      </c>
      <c r="D13" s="75" t="n">
        <v>0</v>
      </c>
      <c r="E13" s="75" t="n">
        <v>-56241.5</v>
      </c>
      <c r="F13" s="77" t="n"/>
      <c r="G13" s="78" t="n">
        <v>0</v>
      </c>
      <c r="H13" s="78" t="n">
        <v>0</v>
      </c>
      <c r="I13" s="79" t="n">
        <v>-0</v>
      </c>
      <c r="J13" s="79" t="n">
        <v>0</v>
      </c>
      <c r="K13" s="80" t="n">
        <v>0</v>
      </c>
      <c r="L13" s="80" t="n">
        <v>0</v>
      </c>
      <c r="M13" s="81" t="n">
        <v>0</v>
      </c>
      <c r="N13" s="90" t="n">
        <v>0</v>
      </c>
      <c r="O13" s="82" t="inlineStr">
        <is>
          <t>capital</t>
        </is>
      </c>
      <c r="P13" s="88" t="n">
        <v>0</v>
      </c>
      <c r="Q13" s="83" t="n">
        <v>0</v>
      </c>
      <c r="R13" s="91" t="n">
        <v>-56241.5</v>
      </c>
      <c r="S13" s="84" t="n">
        <v>-0</v>
      </c>
      <c r="T13" s="89" t="n">
        <v>0</v>
      </c>
      <c r="U13" s="91" t="n">
        <v>0</v>
      </c>
      <c r="V13" s="91" t="n">
        <v>0</v>
      </c>
      <c r="W13" s="75" t="n"/>
      <c r="X13" s="85">
        <f>#REF!-#REF!</f>
        <v/>
      </c>
      <c r="AC13" s="18" t="inlineStr">
        <is>
          <t>JUROS RECALCULADOS SEM CAPITALIZAÇÃO</t>
        </is>
      </c>
    </row>
    <row r="14">
      <c r="A14" s="142" t="inlineStr">
        <is>
          <t>14/08/2017</t>
        </is>
      </c>
      <c r="B14" s="74" t="inlineStr">
        <is>
          <t>iof</t>
        </is>
      </c>
      <c r="C14" s="75" t="n">
        <v>73.69</v>
      </c>
      <c r="D14" s="75" t="n">
        <v>0</v>
      </c>
      <c r="E14" s="75" t="n">
        <v>-56315.19</v>
      </c>
      <c r="F14" s="77" t="n"/>
      <c r="G14" s="78" t="n">
        <v>0</v>
      </c>
      <c r="H14" s="78" t="n">
        <v>0</v>
      </c>
      <c r="I14" s="79" t="n">
        <v>-0</v>
      </c>
      <c r="J14" s="79" t="n">
        <v>0</v>
      </c>
      <c r="K14" s="80" t="n">
        <v>0</v>
      </c>
      <c r="L14" s="80" t="n">
        <v>0</v>
      </c>
      <c r="M14" s="81" t="n">
        <v>0</v>
      </c>
      <c r="N14" s="90" t="n">
        <v>0</v>
      </c>
      <c r="O14" s="82" t="inlineStr">
        <is>
          <t>iof</t>
        </is>
      </c>
      <c r="P14" s="88" t="n">
        <v>0</v>
      </c>
      <c r="Q14" s="83" t="n">
        <v>0</v>
      </c>
      <c r="R14" s="91" t="n">
        <v>-56315.19</v>
      </c>
      <c r="S14" s="84" t="n">
        <v>-0</v>
      </c>
      <c r="T14" s="89" t="n">
        <v>0</v>
      </c>
      <c r="U14" s="91" t="n">
        <v>0</v>
      </c>
      <c r="V14" s="91" t="n">
        <v>0</v>
      </c>
      <c r="W14" s="75" t="n"/>
      <c r="X14" s="85">
        <f>#REF!-#REF!</f>
        <v/>
      </c>
      <c r="AC14" s="28" t="inlineStr">
        <is>
          <t>JUROS RECALCULADOS E CAPITALIZADOS</t>
        </is>
      </c>
    </row>
    <row r="15">
      <c r="A15" s="142" t="inlineStr">
        <is>
          <t>14/08/2017</t>
        </is>
      </c>
      <c r="B15" s="74" t="inlineStr">
        <is>
          <t>iof</t>
        </is>
      </c>
      <c r="C15" s="75" t="n">
        <v>26.22</v>
      </c>
      <c r="D15" s="75" t="n">
        <v>0</v>
      </c>
      <c r="E15" s="75" t="n">
        <v>-56341.41</v>
      </c>
      <c r="F15" s="77" t="n"/>
      <c r="G15" s="78" t="n">
        <v>0</v>
      </c>
      <c r="H15" s="78" t="n">
        <v>0</v>
      </c>
      <c r="I15" s="79" t="n">
        <v>-0</v>
      </c>
      <c r="J15" s="79" t="n">
        <v>0</v>
      </c>
      <c r="K15" s="80" t="n">
        <v>0</v>
      </c>
      <c r="L15" s="80" t="n">
        <v>0</v>
      </c>
      <c r="M15" s="81" t="n">
        <v>0</v>
      </c>
      <c r="N15" s="90" t="n">
        <v>0</v>
      </c>
      <c r="O15" s="82" t="inlineStr">
        <is>
          <t>iof</t>
        </is>
      </c>
      <c r="P15" s="88" t="n">
        <v>0</v>
      </c>
      <c r="Q15" s="83" t="n">
        <v>0</v>
      </c>
      <c r="R15" s="91" t="n">
        <v>-56341.41</v>
      </c>
      <c r="S15" s="84" t="n">
        <v>-0</v>
      </c>
      <c r="T15" s="89" t="n">
        <v>0</v>
      </c>
      <c r="U15" s="91" t="n">
        <v>0</v>
      </c>
      <c r="V15" s="91" t="n">
        <v>0</v>
      </c>
      <c r="W15" s="75" t="n"/>
      <c r="X15" s="85">
        <f>#REF!-#REF!</f>
        <v/>
      </c>
      <c r="AC15" s="44" t="inlineStr">
        <is>
          <t>JUROS RECALC. S/ CAP. E CAP. AO FIM DO PERÍODO DE NORMALIDADE</t>
        </is>
      </c>
    </row>
    <row r="16">
      <c r="A16" s="142" t="inlineStr">
        <is>
          <t>14/08/2017</t>
        </is>
      </c>
      <c r="B16" s="74" t="inlineStr">
        <is>
          <t>iof</t>
        </is>
      </c>
      <c r="C16" s="75" t="n">
        <v>113.81</v>
      </c>
      <c r="D16" s="75" t="n">
        <v>0</v>
      </c>
      <c r="E16" s="75" t="n">
        <v>-56455.22</v>
      </c>
      <c r="F16" s="77" t="n"/>
      <c r="G16" s="78" t="n">
        <v>0</v>
      </c>
      <c r="H16" s="78" t="n">
        <v>0</v>
      </c>
      <c r="I16" s="79" t="n">
        <v>-0</v>
      </c>
      <c r="J16" s="79" t="n">
        <v>0</v>
      </c>
      <c r="K16" s="80" t="n">
        <v>0</v>
      </c>
      <c r="L16" s="80" t="n">
        <v>0</v>
      </c>
      <c r="M16" s="81" t="n">
        <v>0</v>
      </c>
      <c r="N16" s="90" t="n">
        <v>0</v>
      </c>
      <c r="O16" s="82" t="inlineStr">
        <is>
          <t>iof</t>
        </is>
      </c>
      <c r="P16" s="88" t="n">
        <v>0</v>
      </c>
      <c r="Q16" s="83" t="n">
        <v>0</v>
      </c>
      <c r="R16" s="91" t="n">
        <v>-56455.22</v>
      </c>
      <c r="S16" s="84" t="n">
        <v>-0</v>
      </c>
      <c r="T16" s="89" t="n">
        <v>0</v>
      </c>
      <c r="U16" s="91" t="n">
        <v>0</v>
      </c>
      <c r="V16" s="91" t="n">
        <v>0</v>
      </c>
      <c r="W16" s="75" t="n"/>
      <c r="X16" s="85">
        <f>#REF!-#REF!</f>
        <v/>
      </c>
      <c r="Y16" s="18" t="n"/>
      <c r="AC16" s="44" t="inlineStr">
        <is>
          <t>JUROS RECALC. S/ CAP. E CAP. SEMESTRALMENTE</t>
        </is>
      </c>
    </row>
    <row r="17">
      <c r="A17" s="142" t="inlineStr">
        <is>
          <t>14/08/2017</t>
        </is>
      </c>
      <c r="B17" s="74" t="inlineStr">
        <is>
          <t>amortizacao</t>
        </is>
      </c>
      <c r="C17" s="75" t="n">
        <v>0</v>
      </c>
      <c r="D17" s="75" t="n">
        <v>73.69</v>
      </c>
      <c r="E17" s="75" t="n">
        <v>-56381.53</v>
      </c>
      <c r="F17" s="77" t="n"/>
      <c r="G17" s="78" t="n">
        <v>0</v>
      </c>
      <c r="H17" s="78" t="n">
        <v>0</v>
      </c>
      <c r="I17" s="79" t="n">
        <v>-0</v>
      </c>
      <c r="J17" s="79" t="n">
        <v>0</v>
      </c>
      <c r="K17" s="80" t="n">
        <v>0</v>
      </c>
      <c r="L17" s="80" t="n">
        <v>0</v>
      </c>
      <c r="M17" s="81" t="n">
        <v>0</v>
      </c>
      <c r="N17" s="90" t="n">
        <v>0</v>
      </c>
      <c r="O17" s="82" t="inlineStr">
        <is>
          <t>amortizacao</t>
        </is>
      </c>
      <c r="P17" s="88" t="n">
        <v>0</v>
      </c>
      <c r="Q17" s="83" t="n">
        <v>0</v>
      </c>
      <c r="R17" s="91" t="n">
        <v>-56381.53</v>
      </c>
      <c r="S17" s="84" t="n">
        <v>-0</v>
      </c>
      <c r="T17" s="89" t="n">
        <v>0</v>
      </c>
      <c r="U17" s="91" t="n">
        <v>0</v>
      </c>
      <c r="V17" s="91" t="n">
        <v>0</v>
      </c>
      <c r="W17" s="75" t="n"/>
      <c r="X17" s="85">
        <f>#REF!-#REF!</f>
        <v/>
      </c>
      <c r="AA17" s="143" t="n"/>
      <c r="AC17" s="44" t="inlineStr">
        <is>
          <t>JUROS RECALC. S/ CAP. E CAP. NO VENCIMENTO DA PARCELA</t>
        </is>
      </c>
    </row>
    <row r="18">
      <c r="A18" s="142" t="inlineStr">
        <is>
          <t>14/08/2017</t>
        </is>
      </c>
      <c r="B18" s="74" t="inlineStr">
        <is>
          <t>amortizacao</t>
        </is>
      </c>
      <c r="C18" s="75" t="n">
        <v>0</v>
      </c>
      <c r="D18" s="75" t="n">
        <v>26.22</v>
      </c>
      <c r="E18" s="75" t="n">
        <v>-56355.31</v>
      </c>
      <c r="F18" s="77" t="n"/>
      <c r="G18" s="78" t="n">
        <v>0</v>
      </c>
      <c r="H18" s="78" t="n">
        <v>0</v>
      </c>
      <c r="I18" s="79" t="n">
        <v>-0</v>
      </c>
      <c r="J18" s="79" t="n">
        <v>0</v>
      </c>
      <c r="K18" s="80" t="n">
        <v>0</v>
      </c>
      <c r="L18" s="80" t="n">
        <v>0</v>
      </c>
      <c r="M18" s="81" t="n">
        <v>0</v>
      </c>
      <c r="N18" s="90" t="n">
        <v>0</v>
      </c>
      <c r="O18" s="82" t="inlineStr">
        <is>
          <t>amortizacao</t>
        </is>
      </c>
      <c r="P18" s="88" t="n">
        <v>0</v>
      </c>
      <c r="Q18" s="83" t="n">
        <v>0</v>
      </c>
      <c r="R18" s="91" t="n">
        <v>-56355.31</v>
      </c>
      <c r="S18" s="84" t="n">
        <v>-0</v>
      </c>
      <c r="T18" s="89" t="n">
        <v>0</v>
      </c>
      <c r="U18" s="91" t="n">
        <v>0</v>
      </c>
      <c r="V18" s="91" t="n">
        <v>0</v>
      </c>
      <c r="W18" s="75" t="n"/>
      <c r="X18" s="85">
        <f>#REF!-#REF!</f>
        <v/>
      </c>
      <c r="AA18" s="85" t="n"/>
      <c r="AC18" s="28" t="inlineStr">
        <is>
          <t>MORA RECALCULADA E CAPITALIZADA</t>
        </is>
      </c>
    </row>
    <row r="19">
      <c r="A19" s="142" t="inlineStr">
        <is>
          <t>14/08/2017</t>
        </is>
      </c>
      <c r="B19" s="74" t="inlineStr">
        <is>
          <t>amortizacao</t>
        </is>
      </c>
      <c r="C19" s="75" t="n">
        <v>0</v>
      </c>
      <c r="D19" s="75" t="n">
        <v>113.81</v>
      </c>
      <c r="E19" s="75" t="n">
        <v>-56241.5</v>
      </c>
      <c r="F19" s="77" t="n"/>
      <c r="G19" s="78" t="n">
        <v>2</v>
      </c>
      <c r="H19" s="78" t="n">
        <v>2</v>
      </c>
      <c r="I19" s="79" t="n">
        <v>-112483</v>
      </c>
      <c r="J19" s="79" t="n">
        <v>-112483</v>
      </c>
      <c r="K19" s="80" t="n">
        <v>0</v>
      </c>
      <c r="L19" s="80" t="n">
        <v>0</v>
      </c>
      <c r="M19" s="81" t="n">
        <v>0</v>
      </c>
      <c r="N19" s="90" t="n">
        <v>0</v>
      </c>
      <c r="O19" s="82" t="inlineStr">
        <is>
          <t>amortizacao</t>
        </is>
      </c>
      <c r="P19" s="88" t="n">
        <v>0</v>
      </c>
      <c r="Q19" s="83" t="n">
        <v>0</v>
      </c>
      <c r="R19" s="91" t="n">
        <v>-56241.5</v>
      </c>
      <c r="S19" s="84" t="n">
        <v>-112483</v>
      </c>
      <c r="T19" s="89" t="n">
        <v>-112483</v>
      </c>
      <c r="U19" s="91" t="n">
        <v>0</v>
      </c>
      <c r="V19" s="91" t="n">
        <v>0</v>
      </c>
      <c r="W19" s="75" t="n"/>
      <c r="X19" s="85">
        <f>#REF!-#REF!</f>
        <v/>
      </c>
      <c r="Z19" s="93" t="n"/>
      <c r="AC19" s="18" t="inlineStr">
        <is>
          <t>DESCARACTERIZAÇÃO DA MORA</t>
        </is>
      </c>
    </row>
    <row r="20">
      <c r="A20" s="142" t="inlineStr">
        <is>
          <t>16/08/2017</t>
        </is>
      </c>
      <c r="B20" s="74" t="inlineStr">
        <is>
          <t>seguro_penhor</t>
        </is>
      </c>
      <c r="C20" s="75" t="n">
        <v>305.66</v>
      </c>
      <c r="D20" s="75" t="n">
        <v>0</v>
      </c>
      <c r="E20" s="75" t="n">
        <v>-56547.16</v>
      </c>
      <c r="F20" s="77" t="n"/>
      <c r="G20" s="78" t="n">
        <v>0</v>
      </c>
      <c r="H20" s="78" t="n">
        <v>2</v>
      </c>
      <c r="I20" s="79" t="n">
        <v>-0</v>
      </c>
      <c r="J20" s="79" t="n">
        <v>-112483</v>
      </c>
      <c r="K20" s="80" t="n">
        <v>0</v>
      </c>
      <c r="L20" s="80" t="n">
        <v>0</v>
      </c>
      <c r="M20" s="81" t="n">
        <v>0</v>
      </c>
      <c r="N20" s="90" t="n">
        <v>0</v>
      </c>
      <c r="O20" s="82" t="inlineStr">
        <is>
          <t>seguro_penhor</t>
        </is>
      </c>
      <c r="P20" s="88" t="n">
        <v>0</v>
      </c>
      <c r="Q20" s="83" t="n">
        <v>305.66</v>
      </c>
      <c r="R20" s="91" t="n">
        <v>-56241.5</v>
      </c>
      <c r="S20" s="84" t="n">
        <v>-0</v>
      </c>
      <c r="T20" s="89" t="n">
        <v>-112483</v>
      </c>
      <c r="U20" s="91" t="n">
        <v>0</v>
      </c>
      <c r="V20" s="91" t="n">
        <v>0</v>
      </c>
      <c r="W20" s="75" t="n"/>
    </row>
    <row r="21">
      <c r="A21" s="142" t="inlineStr">
        <is>
          <t>16/08/2017</t>
        </is>
      </c>
      <c r="B21" s="74" t="inlineStr">
        <is>
          <t>seguro_penhor</t>
        </is>
      </c>
      <c r="C21" s="75" t="n">
        <v>88.73999999999999</v>
      </c>
      <c r="D21" s="75" t="n">
        <v>0</v>
      </c>
      <c r="E21" s="75" t="n">
        <v>-56635.9</v>
      </c>
      <c r="F21" s="77" t="n"/>
      <c r="G21" s="78" t="n">
        <v>0</v>
      </c>
      <c r="H21" s="78" t="n">
        <v>2</v>
      </c>
      <c r="I21" s="79" t="n">
        <v>-0</v>
      </c>
      <c r="J21" s="79" t="n">
        <v>-112483</v>
      </c>
      <c r="K21" s="80" t="n">
        <v>0</v>
      </c>
      <c r="L21" s="80" t="n">
        <v>0</v>
      </c>
      <c r="M21" s="81" t="n">
        <v>0</v>
      </c>
      <c r="N21" s="90" t="n">
        <v>0</v>
      </c>
      <c r="O21" s="82" t="inlineStr">
        <is>
          <t>seguro_penhor</t>
        </is>
      </c>
      <c r="P21" s="88" t="n">
        <v>0</v>
      </c>
      <c r="Q21" s="83" t="n">
        <v>88.73999999999999</v>
      </c>
      <c r="R21" s="91" t="n">
        <v>-56241.5</v>
      </c>
      <c r="S21" s="84" t="n">
        <v>-0</v>
      </c>
      <c r="T21" s="89" t="n">
        <v>-112483</v>
      </c>
      <c r="U21" s="91" t="n">
        <v>0</v>
      </c>
      <c r="V21" s="91" t="n">
        <v>0</v>
      </c>
      <c r="W21" s="75" t="n"/>
    </row>
    <row r="22">
      <c r="A22" s="142" t="inlineStr">
        <is>
          <t>16/08/2017</t>
        </is>
      </c>
      <c r="B22" s="74" t="inlineStr">
        <is>
          <t>iof</t>
        </is>
      </c>
      <c r="C22" s="75" t="n">
        <v>1.16</v>
      </c>
      <c r="D22" s="75" t="n">
        <v>0</v>
      </c>
      <c r="E22" s="75" t="n">
        <v>-56637.06</v>
      </c>
      <c r="F22" s="77" t="n"/>
      <c r="G22" s="78" t="n">
        <v>0</v>
      </c>
      <c r="H22" s="78" t="n">
        <v>2</v>
      </c>
      <c r="I22" s="79" t="n">
        <v>-0</v>
      </c>
      <c r="J22" s="79" t="n">
        <v>-112483</v>
      </c>
      <c r="K22" s="80" t="n">
        <v>0</v>
      </c>
      <c r="L22" s="80" t="n">
        <v>0</v>
      </c>
      <c r="M22" s="81" t="n">
        <v>0</v>
      </c>
      <c r="N22" s="90" t="n">
        <v>0</v>
      </c>
      <c r="O22" s="82" t="inlineStr">
        <is>
          <t>iof</t>
        </is>
      </c>
      <c r="P22" s="88" t="n">
        <v>0</v>
      </c>
      <c r="Q22" s="83" t="n">
        <v>0</v>
      </c>
      <c r="R22" s="91" t="n">
        <v>-56242.66</v>
      </c>
      <c r="S22" s="84" t="n">
        <v>-0</v>
      </c>
      <c r="T22" s="89" t="n">
        <v>-112483</v>
      </c>
      <c r="U22" s="91" t="n">
        <v>0</v>
      </c>
      <c r="V22" s="91" t="n">
        <v>0</v>
      </c>
      <c r="W22" s="75" t="n"/>
    </row>
    <row r="23">
      <c r="A23" s="142" t="inlineStr">
        <is>
          <t>16/08/2017</t>
        </is>
      </c>
      <c r="B23" s="74" t="inlineStr">
        <is>
          <t>iof</t>
        </is>
      </c>
      <c r="C23" s="75" t="n">
        <v>0.34</v>
      </c>
      <c r="D23" s="75" t="n">
        <v>0</v>
      </c>
      <c r="E23" s="75" t="n">
        <v>-56637.4</v>
      </c>
      <c r="F23" s="77" t="n"/>
      <c r="G23" s="78" t="n">
        <v>0</v>
      </c>
      <c r="H23" s="78" t="n">
        <v>2</v>
      </c>
      <c r="I23" s="79" t="n">
        <v>-0</v>
      </c>
      <c r="J23" s="79" t="n">
        <v>-112483</v>
      </c>
      <c r="K23" s="80" t="n">
        <v>0</v>
      </c>
      <c r="L23" s="80" t="n">
        <v>0</v>
      </c>
      <c r="M23" s="81" t="n">
        <v>0</v>
      </c>
      <c r="N23" s="90" t="n">
        <v>0</v>
      </c>
      <c r="O23" s="82" t="inlineStr">
        <is>
          <t>iof</t>
        </is>
      </c>
      <c r="P23" s="88" t="n">
        <v>0</v>
      </c>
      <c r="Q23" s="83" t="n">
        <v>0</v>
      </c>
      <c r="R23" s="91" t="n">
        <v>-56243</v>
      </c>
      <c r="S23" s="84" t="n">
        <v>-0</v>
      </c>
      <c r="T23" s="89" t="n">
        <v>-112483</v>
      </c>
      <c r="U23" s="91" t="n">
        <v>0</v>
      </c>
      <c r="V23" s="91" t="n">
        <v>0</v>
      </c>
      <c r="W23" s="75" t="n"/>
    </row>
    <row r="24">
      <c r="A24" s="142" t="inlineStr">
        <is>
          <t>16/08/2017</t>
        </is>
      </c>
      <c r="B24" s="74" t="inlineStr">
        <is>
          <t>amortizacao</t>
        </is>
      </c>
      <c r="C24" s="75" t="n">
        <v>0</v>
      </c>
      <c r="D24" s="75" t="n">
        <v>1.16</v>
      </c>
      <c r="E24" s="75" t="n">
        <v>-56636.24</v>
      </c>
      <c r="F24" s="77" t="n"/>
      <c r="G24" s="78" t="n">
        <v>0</v>
      </c>
      <c r="H24" s="78" t="n">
        <v>2</v>
      </c>
      <c r="I24" s="79" t="n">
        <v>-0</v>
      </c>
      <c r="J24" s="79" t="n">
        <v>-112483</v>
      </c>
      <c r="K24" s="80" t="n">
        <v>0</v>
      </c>
      <c r="L24" s="80" t="n">
        <v>0</v>
      </c>
      <c r="M24" s="81" t="n">
        <v>0</v>
      </c>
      <c r="N24" s="90" t="n">
        <v>0</v>
      </c>
      <c r="O24" s="82" t="inlineStr">
        <is>
          <t>amortizacao</t>
        </is>
      </c>
      <c r="P24" s="88" t="n">
        <v>0</v>
      </c>
      <c r="Q24" s="83" t="n">
        <v>0</v>
      </c>
      <c r="R24" s="91" t="n">
        <v>-56241.84</v>
      </c>
      <c r="S24" s="84" t="n">
        <v>-0</v>
      </c>
      <c r="T24" s="89" t="n">
        <v>-112483</v>
      </c>
      <c r="U24" s="91" t="n">
        <v>0</v>
      </c>
      <c r="V24" s="91" t="n">
        <v>0</v>
      </c>
      <c r="W24" s="75" t="n"/>
    </row>
    <row r="25">
      <c r="A25" s="142" t="inlineStr">
        <is>
          <t>16/08/2017</t>
        </is>
      </c>
      <c r="B25" s="74" t="inlineStr">
        <is>
          <t>amortizacao</t>
        </is>
      </c>
      <c r="C25" s="75" t="n">
        <v>0</v>
      </c>
      <c r="D25" s="75" t="n">
        <v>0.34</v>
      </c>
      <c r="E25" s="75" t="n">
        <v>-56635.9</v>
      </c>
      <c r="F25" s="77" t="n"/>
      <c r="G25" s="78" t="n">
        <v>0</v>
      </c>
      <c r="H25" s="78" t="n">
        <v>2</v>
      </c>
      <c r="I25" s="79" t="n">
        <v>-0</v>
      </c>
      <c r="J25" s="79" t="n">
        <v>-112483</v>
      </c>
      <c r="K25" s="80" t="n">
        <v>0</v>
      </c>
      <c r="L25" s="80" t="n">
        <v>0</v>
      </c>
      <c r="M25" s="81" t="n">
        <v>0</v>
      </c>
      <c r="N25" s="90" t="n">
        <v>0</v>
      </c>
      <c r="O25" s="82" t="inlineStr">
        <is>
          <t>amortizacao</t>
        </is>
      </c>
      <c r="P25" s="88" t="n">
        <v>0</v>
      </c>
      <c r="Q25" s="83" t="n">
        <v>0</v>
      </c>
      <c r="R25" s="91" t="n">
        <v>-56241.5</v>
      </c>
      <c r="S25" s="84" t="n">
        <v>-0</v>
      </c>
      <c r="T25" s="89" t="n">
        <v>-112483</v>
      </c>
      <c r="U25" s="91" t="n">
        <v>0</v>
      </c>
      <c r="V25" s="91" t="n">
        <v>0</v>
      </c>
      <c r="W25" s="75" t="n"/>
    </row>
    <row r="26">
      <c r="A26" s="142" t="inlineStr">
        <is>
          <t>16/08/2017</t>
        </is>
      </c>
      <c r="B26" s="74" t="inlineStr">
        <is>
          <t>capital</t>
        </is>
      </c>
      <c r="C26" s="75" t="n">
        <v>40000</v>
      </c>
      <c r="D26" s="75" t="n">
        <v>0</v>
      </c>
      <c r="E26" s="75" t="n">
        <v>-96635.89999999999</v>
      </c>
      <c r="F26" s="77" t="n"/>
      <c r="G26" s="78" t="n">
        <v>0</v>
      </c>
      <c r="H26" s="78" t="n">
        <v>2</v>
      </c>
      <c r="I26" s="79" t="n">
        <v>-0</v>
      </c>
      <c r="J26" s="79" t="n">
        <v>-112483</v>
      </c>
      <c r="K26" s="80" t="n">
        <v>0</v>
      </c>
      <c r="L26" s="80" t="n">
        <v>0</v>
      </c>
      <c r="M26" s="81" t="n">
        <v>0</v>
      </c>
      <c r="N26" s="90" t="n">
        <v>0</v>
      </c>
      <c r="O26" s="82" t="inlineStr">
        <is>
          <t>capital</t>
        </is>
      </c>
      <c r="P26" s="88" t="n">
        <v>0</v>
      </c>
      <c r="Q26" s="83" t="n">
        <v>0</v>
      </c>
      <c r="R26" s="91" t="n">
        <v>-96241.5</v>
      </c>
      <c r="S26" s="84" t="n">
        <v>-0</v>
      </c>
      <c r="T26" s="89" t="n">
        <v>-112483</v>
      </c>
      <c r="U26" s="91" t="n">
        <v>0</v>
      </c>
      <c r="V26" s="91" t="n">
        <v>0</v>
      </c>
      <c r="W26" s="75" t="n"/>
    </row>
    <row r="27">
      <c r="A27" s="142" t="inlineStr">
        <is>
          <t>16/08/2017</t>
        </is>
      </c>
      <c r="B27" s="74" t="inlineStr">
        <is>
          <t>iof</t>
        </is>
      </c>
      <c r="C27" s="75" t="n">
        <v>152</v>
      </c>
      <c r="D27" s="75" t="n">
        <v>0</v>
      </c>
      <c r="E27" s="75" t="n">
        <v>-96787.89999999999</v>
      </c>
      <c r="F27" s="77" t="n"/>
      <c r="G27" s="78" t="n">
        <v>0</v>
      </c>
      <c r="H27" s="78" t="n">
        <v>2</v>
      </c>
      <c r="I27" s="79" t="n">
        <v>-0</v>
      </c>
      <c r="J27" s="79" t="n">
        <v>-112483</v>
      </c>
      <c r="K27" s="80" t="n">
        <v>0</v>
      </c>
      <c r="L27" s="80" t="n">
        <v>0</v>
      </c>
      <c r="M27" s="81" t="n">
        <v>0</v>
      </c>
      <c r="N27" s="90" t="n">
        <v>0</v>
      </c>
      <c r="O27" s="82" t="inlineStr">
        <is>
          <t>iof</t>
        </is>
      </c>
      <c r="P27" s="88" t="n">
        <v>0</v>
      </c>
      <c r="Q27" s="83" t="n">
        <v>0</v>
      </c>
      <c r="R27" s="91" t="n">
        <v>-96393.5</v>
      </c>
      <c r="S27" s="84" t="n">
        <v>-0</v>
      </c>
      <c r="T27" s="89" t="n">
        <v>-112483</v>
      </c>
      <c r="U27" s="91" t="n">
        <v>0</v>
      </c>
      <c r="V27" s="91" t="n">
        <v>0</v>
      </c>
      <c r="W27" s="75" t="n"/>
    </row>
    <row r="28">
      <c r="A28" s="142" t="inlineStr">
        <is>
          <t>16/08/2017</t>
        </is>
      </c>
      <c r="B28" s="74" t="inlineStr">
        <is>
          <t>amortizacao</t>
        </is>
      </c>
      <c r="C28" s="75" t="n">
        <v>0</v>
      </c>
      <c r="D28" s="75" t="n">
        <v>152</v>
      </c>
      <c r="E28" s="75" t="n">
        <v>-96635.89999999999</v>
      </c>
      <c r="F28" s="77" t="n"/>
      <c r="G28" s="78" t="n">
        <v>16</v>
      </c>
      <c r="H28" s="78" t="n">
        <v>18</v>
      </c>
      <c r="I28" s="79" t="n">
        <v>-1546174.4</v>
      </c>
      <c r="J28" s="79" t="n">
        <v>-1658657.4</v>
      </c>
      <c r="K28" s="80" t="n">
        <v>0</v>
      </c>
      <c r="L28" s="80" t="n">
        <v>0</v>
      </c>
      <c r="M28" s="81" t="n">
        <v>0</v>
      </c>
      <c r="N28" s="90" t="n">
        <v>0</v>
      </c>
      <c r="O28" s="82" t="inlineStr">
        <is>
          <t>amortizacao</t>
        </is>
      </c>
      <c r="P28" s="88" t="n">
        <v>0</v>
      </c>
      <c r="Q28" s="83" t="n">
        <v>0</v>
      </c>
      <c r="R28" s="91" t="n">
        <v>-96241.5</v>
      </c>
      <c r="S28" s="84" t="n">
        <v>-1546174.4</v>
      </c>
      <c r="T28" s="89" t="n">
        <v>-1658657.4</v>
      </c>
      <c r="U28" s="91" t="n">
        <v>0</v>
      </c>
      <c r="V28" s="91" t="n">
        <v>0</v>
      </c>
      <c r="W28" s="75" t="n"/>
    </row>
    <row r="29">
      <c r="A29" s="142" t="inlineStr">
        <is>
          <t>01/09/2017</t>
        </is>
      </c>
      <c r="B29" s="74" t="inlineStr">
        <is>
          <t>juros_encarg_add</t>
        </is>
      </c>
      <c r="C29" s="75" t="n">
        <v>243.61</v>
      </c>
      <c r="D29" s="75" t="n">
        <v>0</v>
      </c>
      <c r="E29" s="75" t="n">
        <v>-96879.50999999999</v>
      </c>
      <c r="F29" s="77" t="n"/>
      <c r="G29" s="78" t="n">
        <v>30</v>
      </c>
      <c r="H29" s="78" t="n">
        <v>30</v>
      </c>
      <c r="I29" s="79" t="n">
        <v>-2906385.3</v>
      </c>
      <c r="J29" s="79" t="n">
        <v>-2906385.3</v>
      </c>
      <c r="K29" s="80" t="n">
        <v>92147.63333333333</v>
      </c>
      <c r="L29" s="80" t="n">
        <v>243.61</v>
      </c>
      <c r="M29" s="81" t="n">
        <v>0.004557371397943655</v>
      </c>
      <c r="N29" s="90" t="n">
        <v>0.05499652205853267</v>
      </c>
      <c r="O29" s="82" t="inlineStr">
        <is>
          <t>juros_encarg_add</t>
        </is>
      </c>
      <c r="P29" s="88" t="n">
        <v>0</v>
      </c>
      <c r="Q29" s="83" t="n">
        <v>243.61</v>
      </c>
      <c r="R29" s="91" t="n">
        <v>-96241.5</v>
      </c>
      <c r="S29" s="84" t="n">
        <v>-2906385.3</v>
      </c>
      <c r="T29" s="89" t="n">
        <v>-2906385.3</v>
      </c>
      <c r="U29" s="91" t="n">
        <v>92147.63333333333</v>
      </c>
      <c r="V29" s="91" t="n">
        <v>-250.7836595524696</v>
      </c>
      <c r="W29" s="75" t="n"/>
    </row>
    <row r="30">
      <c r="A30" s="142" t="inlineStr">
        <is>
          <t>01/10/2017</t>
        </is>
      </c>
      <c r="B30" s="74" t="inlineStr">
        <is>
          <t>juros_encarg_add</t>
        </is>
      </c>
      <c r="C30" s="75" t="n">
        <v>427.27</v>
      </c>
      <c r="D30" s="75" t="n">
        <v>0</v>
      </c>
      <c r="E30" s="75" t="n">
        <v>-97306.78</v>
      </c>
      <c r="F30" s="77" t="n"/>
      <c r="G30" s="78" t="n">
        <v>31</v>
      </c>
      <c r="H30" s="78" t="n">
        <v>31</v>
      </c>
      <c r="I30" s="79" t="n">
        <v>-3016510.18</v>
      </c>
      <c r="J30" s="79" t="n">
        <v>-3016510.18</v>
      </c>
      <c r="K30" s="80" t="n">
        <v>96879.50999999999</v>
      </c>
      <c r="L30" s="80" t="n">
        <v>427.27</v>
      </c>
      <c r="M30" s="81" t="n">
        <v>0.004410323710348996</v>
      </c>
      <c r="N30" s="90" t="n">
        <v>0.0550002022041669</v>
      </c>
      <c r="O30" s="82" t="inlineStr">
        <is>
          <t>juros_encarg_add</t>
        </is>
      </c>
      <c r="P30" s="88" t="n">
        <v>0</v>
      </c>
      <c r="Q30" s="83" t="n">
        <v>427.27</v>
      </c>
      <c r="R30" s="91" t="n">
        <v>-96241.5</v>
      </c>
      <c r="S30" s="84" t="n">
        <v>-3016510.18</v>
      </c>
      <c r="T30" s="89" t="n">
        <v>-3016510.18</v>
      </c>
      <c r="U30" s="91" t="n">
        <v>96879.50999999999</v>
      </c>
      <c r="V30" s="91" t="n">
        <v>-424.4561693695529</v>
      </c>
      <c r="W30" s="75" t="n"/>
    </row>
    <row r="31">
      <c r="A31" s="142" t="inlineStr">
        <is>
          <t>01/11/2017</t>
        </is>
      </c>
      <c r="B31" s="74" t="inlineStr">
        <is>
          <t>juros_encarg_add</t>
        </is>
      </c>
      <c r="C31" s="75" t="n">
        <v>443.49</v>
      </c>
      <c r="D31" s="75" t="n">
        <v>0</v>
      </c>
      <c r="E31" s="75" t="n">
        <v>-97750.27</v>
      </c>
      <c r="F31" s="77" t="n"/>
      <c r="G31" s="78" t="n">
        <v>30</v>
      </c>
      <c r="H31" s="78" t="n">
        <v>30</v>
      </c>
      <c r="I31" s="79" t="n">
        <v>-2932508.1</v>
      </c>
      <c r="J31" s="79" t="n">
        <v>-2932508.1</v>
      </c>
      <c r="K31" s="80" t="n">
        <v>97306.78</v>
      </c>
      <c r="L31" s="80" t="n">
        <v>443.49</v>
      </c>
      <c r="M31" s="81" t="n">
        <v>0.004557647473279802</v>
      </c>
      <c r="N31" s="90" t="n">
        <v>0.05499993583992224</v>
      </c>
      <c r="O31" s="82" t="inlineStr">
        <is>
          <t>juros_encarg_add</t>
        </is>
      </c>
      <c r="P31" s="88" t="n">
        <v>0</v>
      </c>
      <c r="Q31" s="83" t="n">
        <v>443.49</v>
      </c>
      <c r="R31" s="91" t="n">
        <v>-96241.5</v>
      </c>
      <c r="S31" s="84" t="n">
        <v>-2932508.1</v>
      </c>
      <c r="T31" s="89" t="n">
        <v>-2932508.1</v>
      </c>
      <c r="U31" s="91" t="n">
        <v>97306.78</v>
      </c>
      <c r="V31" s="91" t="n">
        <v>-453.2903695103708</v>
      </c>
      <c r="W31" s="75" t="n"/>
    </row>
    <row r="32">
      <c r="A32" s="142" t="inlineStr">
        <is>
          <t>01/12/2017</t>
        </is>
      </c>
      <c r="B32" s="74" t="inlineStr">
        <is>
          <t>juros_encarg_add</t>
        </is>
      </c>
      <c r="C32" s="75" t="n">
        <v>431.11</v>
      </c>
      <c r="D32" s="75" t="n">
        <v>0</v>
      </c>
      <c r="E32" s="75" t="n">
        <v>-98181.38</v>
      </c>
      <c r="F32" s="77" t="n"/>
      <c r="G32" s="78" t="n">
        <v>31</v>
      </c>
      <c r="H32" s="78" t="n">
        <v>31</v>
      </c>
      <c r="I32" s="79" t="n">
        <v>-3043622.78</v>
      </c>
      <c r="J32" s="79" t="n">
        <v>-3043622.78</v>
      </c>
      <c r="K32" s="80" t="n">
        <v>97750.27</v>
      </c>
      <c r="L32" s="80" t="n">
        <v>431.11</v>
      </c>
      <c r="M32" s="81" t="n">
        <v>0.00441032029885946</v>
      </c>
      <c r="N32" s="90" t="n">
        <v>0.05500015860712515</v>
      </c>
      <c r="O32" s="82" t="inlineStr">
        <is>
          <t>juros_encarg_add</t>
        </is>
      </c>
      <c r="P32" s="88" t="n">
        <v>0</v>
      </c>
      <c r="Q32" s="83" t="n">
        <v>431.11</v>
      </c>
      <c r="R32" s="91" t="n">
        <v>-96241.5</v>
      </c>
      <c r="S32" s="84" t="n">
        <v>-3043622.78</v>
      </c>
      <c r="T32" s="89" t="n">
        <v>-3043622.78</v>
      </c>
      <c r="U32" s="91" t="n">
        <v>97750.27</v>
      </c>
      <c r="V32" s="91" t="n">
        <v>-424.4558410426828</v>
      </c>
      <c r="W32" s="75" t="n"/>
    </row>
    <row r="33">
      <c r="A33" s="142" t="inlineStr">
        <is>
          <t>01/01/2018</t>
        </is>
      </c>
      <c r="B33" s="74" t="inlineStr">
        <is>
          <t>juros_encarg_add</t>
        </is>
      </c>
      <c r="C33" s="75" t="n">
        <v>447.48</v>
      </c>
      <c r="D33" s="75" t="n">
        <v>0</v>
      </c>
      <c r="E33" s="75" t="n">
        <v>-98628.86</v>
      </c>
      <c r="F33" s="77" t="n"/>
      <c r="G33" s="78" t="n">
        <v>31</v>
      </c>
      <c r="H33" s="78" t="n">
        <v>31</v>
      </c>
      <c r="I33" s="79" t="n">
        <v>-3057494.66</v>
      </c>
      <c r="J33" s="79" t="n">
        <v>-3057494.66</v>
      </c>
      <c r="K33" s="80" t="n">
        <v>98181.38</v>
      </c>
      <c r="L33" s="80" t="n">
        <v>447.48</v>
      </c>
      <c r="M33" s="81" t="n">
        <v>0.004557687007455069</v>
      </c>
      <c r="N33" s="90" t="n">
        <v>0.0550004246965583</v>
      </c>
      <c r="O33" s="82" t="inlineStr">
        <is>
          <t>juros_encarg_add</t>
        </is>
      </c>
      <c r="P33" s="88" t="n">
        <v>0</v>
      </c>
      <c r="Q33" s="83" t="n">
        <v>447.48</v>
      </c>
      <c r="R33" s="91" t="n">
        <v>-96241.5</v>
      </c>
      <c r="S33" s="84" t="n">
        <v>-3057494.66</v>
      </c>
      <c r="T33" s="89" t="n">
        <v>-3057494.66</v>
      </c>
      <c r="U33" s="91" t="n">
        <v>98181.38</v>
      </c>
      <c r="V33" s="91" t="n">
        <v>-453.2943017623195</v>
      </c>
      <c r="W33" s="75" t="n"/>
    </row>
    <row r="34">
      <c r="A34" s="142" t="inlineStr">
        <is>
          <t>01/02/2018</t>
        </is>
      </c>
      <c r="B34" s="74" t="inlineStr">
        <is>
          <t>juros_encarg_add</t>
        </is>
      </c>
      <c r="C34" s="75" t="n">
        <v>449.52</v>
      </c>
      <c r="D34" s="75" t="n">
        <v>0</v>
      </c>
      <c r="E34" s="75" t="n">
        <v>-99078.38</v>
      </c>
      <c r="F34" s="77" t="n"/>
      <c r="G34" s="78" t="n">
        <v>28</v>
      </c>
      <c r="H34" s="78" t="n">
        <v>28</v>
      </c>
      <c r="I34" s="79" t="n">
        <v>-2774194.64</v>
      </c>
      <c r="J34" s="79" t="n">
        <v>-2774194.64</v>
      </c>
      <c r="K34" s="80" t="n">
        <v>98628.86</v>
      </c>
      <c r="L34" s="80" t="n">
        <v>449.52</v>
      </c>
      <c r="M34" s="81" t="n">
        <v>0.004557692342789021</v>
      </c>
      <c r="N34" s="90" t="n">
        <v>0.05500049067021329</v>
      </c>
      <c r="O34" s="82" t="inlineStr">
        <is>
          <t>juros_encarg_add</t>
        </is>
      </c>
      <c r="P34" s="88" t="n">
        <v>0</v>
      </c>
      <c r="Q34" s="83" t="n">
        <v>449.52</v>
      </c>
      <c r="R34" s="91" t="n">
        <v>-96241.5</v>
      </c>
      <c r="S34" s="84" t="n">
        <v>-2774194.64</v>
      </c>
      <c r="T34" s="89" t="n">
        <v>-2774194.64</v>
      </c>
      <c r="U34" s="91" t="n">
        <v>98628.86</v>
      </c>
      <c r="V34" s="91" t="n">
        <v>-453.2948324393108</v>
      </c>
      <c r="W34" s="75" t="n"/>
    </row>
    <row r="35">
      <c r="A35" s="142" t="inlineStr">
        <is>
          <t>01/03/2018</t>
        </is>
      </c>
      <c r="B35" s="74" t="inlineStr">
        <is>
          <t>juros_encarg_add</t>
        </is>
      </c>
      <c r="C35" s="75" t="n">
        <v>407.78</v>
      </c>
      <c r="D35" s="75" t="n">
        <v>0</v>
      </c>
      <c r="E35" s="75" t="n">
        <v>-99486.16</v>
      </c>
      <c r="F35" s="77" t="n"/>
      <c r="G35" s="78" t="n">
        <v>31</v>
      </c>
      <c r="H35" s="78" t="n">
        <v>31</v>
      </c>
      <c r="I35" s="79" t="n">
        <v>-3084070.96</v>
      </c>
      <c r="J35" s="79" t="n">
        <v>-3084070.96</v>
      </c>
      <c r="K35" s="80" t="n">
        <v>99078.38</v>
      </c>
      <c r="L35" s="80" t="n">
        <v>407.78</v>
      </c>
      <c r="M35" s="81" t="n">
        <v>0.004115731403763423</v>
      </c>
      <c r="N35" s="90" t="n">
        <v>0.05500066059459408</v>
      </c>
      <c r="O35" s="82" t="inlineStr">
        <is>
          <t>juros_encarg_add</t>
        </is>
      </c>
      <c r="P35" s="88" t="n">
        <v>0</v>
      </c>
      <c r="Q35" s="83" t="n">
        <v>407.78</v>
      </c>
      <c r="R35" s="91" t="n">
        <v>-96241.5</v>
      </c>
      <c r="S35" s="84" t="n">
        <v>-3084070.96</v>
      </c>
      <c r="T35" s="89" t="n">
        <v>-3084070.96</v>
      </c>
      <c r="U35" s="91" t="n">
        <v>99078.38</v>
      </c>
      <c r="V35" s="91" t="n">
        <v>-369.6465745505615</v>
      </c>
      <c r="W35" s="75" t="n"/>
    </row>
    <row r="36">
      <c r="A36" s="142" t="inlineStr">
        <is>
          <t>01/04/2018</t>
        </is>
      </c>
      <c r="B36" s="74" t="inlineStr">
        <is>
          <t>juros_encarg_add</t>
        </is>
      </c>
      <c r="C36" s="75" t="n">
        <v>453.42</v>
      </c>
      <c r="D36" s="75" t="n">
        <v>0</v>
      </c>
      <c r="E36" s="75" t="n">
        <v>-99939.58</v>
      </c>
      <c r="F36" s="77" t="n"/>
      <c r="G36" s="78" t="n">
        <v>30</v>
      </c>
      <c r="H36" s="78" t="n">
        <v>30</v>
      </c>
      <c r="I36" s="79" t="n">
        <v>-2998187.4</v>
      </c>
      <c r="J36" s="79" t="n">
        <v>-2998187.4</v>
      </c>
      <c r="K36" s="80" t="n">
        <v>99486.16</v>
      </c>
      <c r="L36" s="80" t="n">
        <v>453.42</v>
      </c>
      <c r="M36" s="81" t="n">
        <v>0.004557618868795466</v>
      </c>
      <c r="N36" s="90" t="n">
        <v>0.05499958213362155</v>
      </c>
      <c r="O36" s="82" t="inlineStr">
        <is>
          <t>juros_encarg_add</t>
        </is>
      </c>
      <c r="P36" s="88" t="n">
        <v>0</v>
      </c>
      <c r="Q36" s="83" t="n">
        <v>453.42</v>
      </c>
      <c r="R36" s="91" t="n">
        <v>-96241.5</v>
      </c>
      <c r="S36" s="84" t="n">
        <v>-2998187.4</v>
      </c>
      <c r="T36" s="89" t="n">
        <v>-2998187.4</v>
      </c>
      <c r="U36" s="91" t="n">
        <v>99486.16</v>
      </c>
      <c r="V36" s="91" t="n">
        <v>-453.2875243760486</v>
      </c>
      <c r="W36" s="75" t="n"/>
    </row>
    <row r="37">
      <c r="A37" s="142" t="inlineStr">
        <is>
          <t>01/05/2018</t>
        </is>
      </c>
      <c r="B37" s="74" t="inlineStr">
        <is>
          <t>juros_encarg_add</t>
        </is>
      </c>
      <c r="C37" s="75" t="n">
        <v>440.76</v>
      </c>
      <c r="D37" s="75" t="n">
        <v>0</v>
      </c>
      <c r="E37" s="75" t="n">
        <v>-100380.34</v>
      </c>
      <c r="F37" s="77" t="n"/>
      <c r="G37" s="78" t="n">
        <v>31</v>
      </c>
      <c r="H37" s="78" t="n">
        <v>31</v>
      </c>
      <c r="I37" s="79" t="n">
        <v>-3111790.54</v>
      </c>
      <c r="J37" s="79" t="n">
        <v>-3111790.54</v>
      </c>
      <c r="K37" s="80" t="n">
        <v>99939.58</v>
      </c>
      <c r="L37" s="80" t="n">
        <v>440.76</v>
      </c>
      <c r="M37" s="81" t="n">
        <v>0.00441026468192085</v>
      </c>
      <c r="N37" s="90" t="n">
        <v>0.05499944785214117</v>
      </c>
      <c r="O37" s="82" t="inlineStr">
        <is>
          <t>juros_encarg_add</t>
        </is>
      </c>
      <c r="P37" s="88" t="n">
        <v>0</v>
      </c>
      <c r="Q37" s="83" t="n">
        <v>440.76</v>
      </c>
      <c r="R37" s="91" t="n">
        <v>-96241.5</v>
      </c>
      <c r="S37" s="84" t="n">
        <v>-3111790.54</v>
      </c>
      <c r="T37" s="89" t="n">
        <v>-3111790.54</v>
      </c>
      <c r="U37" s="91" t="n">
        <v>99939.58</v>
      </c>
      <c r="V37" s="91" t="n">
        <v>-424.4504883850855</v>
      </c>
      <c r="W37" s="75" t="n"/>
    </row>
    <row r="38">
      <c r="A38" s="142" t="inlineStr">
        <is>
          <t>01/06/2018</t>
        </is>
      </c>
      <c r="B38" s="74" t="inlineStr">
        <is>
          <t>juros_encarg_add</t>
        </is>
      </c>
      <c r="C38" s="75" t="n">
        <v>457.5</v>
      </c>
      <c r="D38" s="75" t="n">
        <v>0</v>
      </c>
      <c r="E38" s="75" t="n">
        <v>-100837.84</v>
      </c>
      <c r="F38" s="77" t="n"/>
      <c r="G38" s="78" t="n">
        <v>30</v>
      </c>
      <c r="H38" s="78" t="n">
        <v>30</v>
      </c>
      <c r="I38" s="79" t="n">
        <v>-3025135.2</v>
      </c>
      <c r="J38" s="79" t="n">
        <v>-3025135.2</v>
      </c>
      <c r="K38" s="80" t="n">
        <v>100380.34</v>
      </c>
      <c r="L38" s="80" t="n">
        <v>457.5</v>
      </c>
      <c r="M38" s="81" t="n">
        <v>0.004557665375510833</v>
      </c>
      <c r="N38" s="90" t="n">
        <v>0.0550001572084815</v>
      </c>
      <c r="O38" s="82" t="inlineStr">
        <is>
          <t>juros_encarg_add</t>
        </is>
      </c>
      <c r="P38" s="88" t="n">
        <v>0</v>
      </c>
      <c r="Q38" s="83" t="n">
        <v>457.5</v>
      </c>
      <c r="R38" s="91" t="n">
        <v>-96241.5</v>
      </c>
      <c r="S38" s="84" t="n">
        <v>-3025135.2</v>
      </c>
      <c r="T38" s="89" t="n">
        <v>-3025135.2</v>
      </c>
      <c r="U38" s="91" t="n">
        <v>100380.34</v>
      </c>
      <c r="V38" s="91" t="n">
        <v>-453.2921501490778</v>
      </c>
      <c r="W38" s="75" t="n"/>
    </row>
    <row r="39">
      <c r="A39" s="142" t="inlineStr">
        <is>
          <t>01/07/2018</t>
        </is>
      </c>
      <c r="B39" s="74" t="inlineStr">
        <is>
          <t>juros_encarg_add</t>
        </is>
      </c>
      <c r="C39" s="75" t="n">
        <v>444.73</v>
      </c>
      <c r="D39" s="75" t="n">
        <v>0</v>
      </c>
      <c r="E39" s="75" t="n">
        <v>-101282.57</v>
      </c>
      <c r="F39" s="77" t="n"/>
      <c r="G39" s="78" t="n">
        <v>31</v>
      </c>
      <c r="H39" s="78" t="n">
        <v>31</v>
      </c>
      <c r="I39" s="79" t="n">
        <v>-3139759.67</v>
      </c>
      <c r="J39" s="79" t="n">
        <v>-3139759.67</v>
      </c>
      <c r="K39" s="80" t="n">
        <v>100837.84</v>
      </c>
      <c r="L39" s="80" t="n">
        <v>444.73</v>
      </c>
      <c r="M39" s="81" t="n">
        <v>0.004410348337489101</v>
      </c>
      <c r="N39" s="90" t="n">
        <v>0.05500051692611096</v>
      </c>
      <c r="O39" s="82" t="inlineStr">
        <is>
          <t>juros_encarg_add</t>
        </is>
      </c>
      <c r="P39" s="88" t="n">
        <v>0</v>
      </c>
      <c r="Q39" s="83" t="n">
        <v>444.73</v>
      </c>
      <c r="R39" s="91" t="n">
        <v>-96241.5</v>
      </c>
      <c r="S39" s="84" t="n">
        <v>-3139759.67</v>
      </c>
      <c r="T39" s="89" t="n">
        <v>-3139759.67</v>
      </c>
      <c r="U39" s="91" t="n">
        <v>100837.84</v>
      </c>
      <c r="V39" s="91" t="n">
        <v>-424.4585395224573</v>
      </c>
      <c r="W39" s="75" t="n"/>
    </row>
    <row r="40">
      <c r="A40" s="142" t="inlineStr">
        <is>
          <t>01/08/2018</t>
        </is>
      </c>
      <c r="B40" s="74" t="inlineStr">
        <is>
          <t>juros_encarg_add</t>
        </is>
      </c>
      <c r="C40" s="75" t="n">
        <v>461.61</v>
      </c>
      <c r="D40" s="75" t="n">
        <v>0</v>
      </c>
      <c r="E40" s="75" t="n">
        <v>-101744.18</v>
      </c>
      <c r="F40" s="77" t="n"/>
      <c r="G40" s="78" t="n">
        <v>20</v>
      </c>
      <c r="H40" s="78" t="n">
        <v>20</v>
      </c>
      <c r="I40" s="79" t="n">
        <v>-2034883.6</v>
      </c>
      <c r="J40" s="79" t="n">
        <v>-2034883.6</v>
      </c>
      <c r="K40" s="80" t="n">
        <v>101282.57</v>
      </c>
      <c r="L40" s="80" t="n">
        <v>461.61</v>
      </c>
      <c r="M40" s="81" t="n">
        <v>0.004557645012364997</v>
      </c>
      <c r="N40" s="90" t="n">
        <v>0.0549999054096868</v>
      </c>
      <c r="O40" s="82" t="inlineStr">
        <is>
          <t>juros_encarg_add</t>
        </is>
      </c>
      <c r="P40" s="88" t="n">
        <v>0</v>
      </c>
      <c r="Q40" s="83" t="n">
        <v>461.61</v>
      </c>
      <c r="R40" s="91" t="n">
        <v>-96241.5</v>
      </c>
      <c r="S40" s="84" t="n">
        <v>-2034883.6</v>
      </c>
      <c r="T40" s="89" t="n">
        <v>-2034883.6</v>
      </c>
      <c r="U40" s="91" t="n">
        <v>101282.57</v>
      </c>
      <c r="V40" s="91" t="n">
        <v>-453.2901247364134</v>
      </c>
      <c r="W40" s="75" t="n"/>
    </row>
    <row r="41">
      <c r="A41" s="142" t="inlineStr">
        <is>
          <t>21/08/2018</t>
        </is>
      </c>
      <c r="B41" s="74" t="inlineStr">
        <is>
          <t>seguro_penhor</t>
        </is>
      </c>
      <c r="C41" s="75" t="n">
        <v>279.67</v>
      </c>
      <c r="D41" s="75" t="n">
        <v>0</v>
      </c>
      <c r="E41" s="75" t="n">
        <v>-102023.85</v>
      </c>
      <c r="F41" s="77" t="n"/>
      <c r="G41" s="78" t="n">
        <v>0</v>
      </c>
      <c r="H41" s="78" t="n">
        <v>20</v>
      </c>
      <c r="I41" s="79" t="n">
        <v>-0</v>
      </c>
      <c r="J41" s="79" t="n">
        <v>-2034883.6</v>
      </c>
      <c r="K41" s="80" t="n">
        <v>0</v>
      </c>
      <c r="L41" s="80" t="n">
        <v>0</v>
      </c>
      <c r="M41" s="81" t="n">
        <v>0</v>
      </c>
      <c r="N41" s="90" t="n">
        <v>0</v>
      </c>
      <c r="O41" s="82" t="inlineStr">
        <is>
          <t>seguro_penhor</t>
        </is>
      </c>
      <c r="P41" s="88" t="n">
        <v>0</v>
      </c>
      <c r="Q41" s="83" t="n">
        <v>279.67</v>
      </c>
      <c r="R41" s="91" t="n">
        <v>-96241.5</v>
      </c>
      <c r="S41" s="84" t="n">
        <v>-0</v>
      </c>
      <c r="T41" s="89" t="n">
        <v>-2034883.6</v>
      </c>
      <c r="U41" s="91" t="n">
        <v>0</v>
      </c>
      <c r="V41" s="91" t="n">
        <v>0</v>
      </c>
      <c r="W41" s="75" t="n"/>
    </row>
    <row r="42">
      <c r="A42" s="142" t="inlineStr">
        <is>
          <t>21/08/2018</t>
        </is>
      </c>
      <c r="B42" s="74" t="inlineStr">
        <is>
          <t>seguro_penhor</t>
        </is>
      </c>
      <c r="C42" s="75" t="n">
        <v>81.19</v>
      </c>
      <c r="D42" s="75" t="n">
        <v>0</v>
      </c>
      <c r="E42" s="75" t="n">
        <v>-102105.04</v>
      </c>
      <c r="F42" s="77" t="n"/>
      <c r="G42" s="78" t="n">
        <v>0</v>
      </c>
      <c r="H42" s="78" t="n">
        <v>20</v>
      </c>
      <c r="I42" s="79" t="n">
        <v>-0</v>
      </c>
      <c r="J42" s="79" t="n">
        <v>-2034883.6</v>
      </c>
      <c r="K42" s="80" t="n">
        <v>0</v>
      </c>
      <c r="L42" s="80" t="n">
        <v>0</v>
      </c>
      <c r="M42" s="81" t="n">
        <v>0</v>
      </c>
      <c r="N42" s="90" t="n">
        <v>0</v>
      </c>
      <c r="O42" s="82" t="inlineStr">
        <is>
          <t>seguro_penhor</t>
        </is>
      </c>
      <c r="P42" s="88" t="n">
        <v>0</v>
      </c>
      <c r="Q42" s="83" t="n">
        <v>81.19</v>
      </c>
      <c r="R42" s="91" t="n">
        <v>-96241.5</v>
      </c>
      <c r="S42" s="84" t="n">
        <v>-0</v>
      </c>
      <c r="T42" s="89" t="n">
        <v>-2034883.6</v>
      </c>
      <c r="U42" s="91" t="n">
        <v>0</v>
      </c>
      <c r="V42" s="91" t="n">
        <v>0</v>
      </c>
      <c r="W42" s="75" t="n"/>
    </row>
    <row r="43">
      <c r="A43" s="142" t="inlineStr">
        <is>
          <t>21/08/2018</t>
        </is>
      </c>
      <c r="B43" s="74" t="inlineStr">
        <is>
          <t>iof</t>
        </is>
      </c>
      <c r="C43" s="75" t="n">
        <v>1.06</v>
      </c>
      <c r="D43" s="75" t="n">
        <v>0</v>
      </c>
      <c r="E43" s="75" t="n">
        <v>-102106.1</v>
      </c>
      <c r="F43" s="77" t="n"/>
      <c r="G43" s="78" t="n">
        <v>0</v>
      </c>
      <c r="H43" s="78" t="n">
        <v>20</v>
      </c>
      <c r="I43" s="79" t="n">
        <v>-0</v>
      </c>
      <c r="J43" s="79" t="n">
        <v>-2034883.6</v>
      </c>
      <c r="K43" s="80" t="n">
        <v>0</v>
      </c>
      <c r="L43" s="80" t="n">
        <v>0</v>
      </c>
      <c r="M43" s="81" t="n">
        <v>0</v>
      </c>
      <c r="N43" s="90" t="n">
        <v>0</v>
      </c>
      <c r="O43" s="82" t="inlineStr">
        <is>
          <t>iof</t>
        </is>
      </c>
      <c r="P43" s="88" t="n">
        <v>0</v>
      </c>
      <c r="Q43" s="83" t="n">
        <v>0</v>
      </c>
      <c r="R43" s="91" t="n">
        <v>-96242.56</v>
      </c>
      <c r="S43" s="84" t="n">
        <v>-0</v>
      </c>
      <c r="T43" s="89" t="n">
        <v>-2034883.6</v>
      </c>
      <c r="U43" s="91" t="n">
        <v>0</v>
      </c>
      <c r="V43" s="91" t="n">
        <v>0</v>
      </c>
      <c r="W43" s="75" t="n"/>
    </row>
    <row r="44">
      <c r="A44" s="142" t="inlineStr">
        <is>
          <t>21/08/2018</t>
        </is>
      </c>
      <c r="B44" s="74" t="inlineStr">
        <is>
          <t>iof</t>
        </is>
      </c>
      <c r="C44" s="75" t="n">
        <v>0.31</v>
      </c>
      <c r="D44" s="75" t="n">
        <v>0</v>
      </c>
      <c r="E44" s="75" t="n">
        <v>-102106.41</v>
      </c>
      <c r="F44" s="77" t="n"/>
      <c r="G44" s="78" t="n">
        <v>0</v>
      </c>
      <c r="H44" s="78" t="n">
        <v>20</v>
      </c>
      <c r="I44" s="79" t="n">
        <v>-0</v>
      </c>
      <c r="J44" s="79" t="n">
        <v>-2034883.6</v>
      </c>
      <c r="K44" s="80" t="n">
        <v>0</v>
      </c>
      <c r="L44" s="80" t="n">
        <v>0</v>
      </c>
      <c r="M44" s="81" t="n">
        <v>0</v>
      </c>
      <c r="N44" s="90" t="n">
        <v>0</v>
      </c>
      <c r="O44" s="82" t="inlineStr">
        <is>
          <t>iof</t>
        </is>
      </c>
      <c r="P44" s="88" t="n">
        <v>0</v>
      </c>
      <c r="Q44" s="83" t="n">
        <v>0</v>
      </c>
      <c r="R44" s="91" t="n">
        <v>-96242.87</v>
      </c>
      <c r="S44" s="84" t="n">
        <v>-0</v>
      </c>
      <c r="T44" s="89" t="n">
        <v>-2034883.6</v>
      </c>
      <c r="U44" s="91" t="n">
        <v>0</v>
      </c>
      <c r="V44" s="91" t="n">
        <v>0</v>
      </c>
      <c r="W44" s="75" t="n"/>
    </row>
    <row r="45">
      <c r="A45" s="142" t="inlineStr">
        <is>
          <t>21/08/2018</t>
        </is>
      </c>
      <c r="B45" s="74" t="inlineStr">
        <is>
          <t>amortizacao</t>
        </is>
      </c>
      <c r="C45" s="75" t="n">
        <v>0</v>
      </c>
      <c r="D45" s="75" t="n">
        <v>1.06</v>
      </c>
      <c r="E45" s="75" t="n">
        <v>-102105.35</v>
      </c>
      <c r="F45" s="77" t="n"/>
      <c r="G45" s="78" t="n">
        <v>0</v>
      </c>
      <c r="H45" s="78" t="n">
        <v>20</v>
      </c>
      <c r="I45" s="79" t="n">
        <v>-0</v>
      </c>
      <c r="J45" s="79" t="n">
        <v>-2034883.6</v>
      </c>
      <c r="K45" s="80" t="n">
        <v>0</v>
      </c>
      <c r="L45" s="80" t="n">
        <v>0</v>
      </c>
      <c r="M45" s="81" t="n">
        <v>0</v>
      </c>
      <c r="N45" s="90" t="n">
        <v>0</v>
      </c>
      <c r="O45" s="82" t="inlineStr">
        <is>
          <t>amortizacao</t>
        </is>
      </c>
      <c r="P45" s="88" t="n">
        <v>0</v>
      </c>
      <c r="Q45" s="83" t="n">
        <v>0</v>
      </c>
      <c r="R45" s="91" t="n">
        <v>-96241.81</v>
      </c>
      <c r="S45" s="84" t="n">
        <v>-0</v>
      </c>
      <c r="T45" s="89" t="n">
        <v>-2034883.6</v>
      </c>
      <c r="U45" s="91" t="n">
        <v>0</v>
      </c>
      <c r="V45" s="91" t="n">
        <v>0</v>
      </c>
      <c r="W45" s="75" t="n"/>
    </row>
    <row r="46">
      <c r="A46" s="142" t="inlineStr">
        <is>
          <t>21/08/2018</t>
        </is>
      </c>
      <c r="B46" s="74" t="inlineStr">
        <is>
          <t>amortizacao</t>
        </is>
      </c>
      <c r="C46" s="75" t="n">
        <v>0</v>
      </c>
      <c r="D46" s="75" t="n">
        <v>0.31</v>
      </c>
      <c r="E46" s="75" t="n">
        <v>-102105.04</v>
      </c>
      <c r="F46" s="77" t="n"/>
      <c r="G46" s="78" t="n">
        <v>11</v>
      </c>
      <c r="H46" s="78" t="n">
        <v>31</v>
      </c>
      <c r="I46" s="79" t="n">
        <v>-1123155.44</v>
      </c>
      <c r="J46" s="79" t="n">
        <v>-3158039.04</v>
      </c>
      <c r="K46" s="80" t="n">
        <v>0</v>
      </c>
      <c r="L46" s="80" t="n">
        <v>0</v>
      </c>
      <c r="M46" s="81" t="n">
        <v>0</v>
      </c>
      <c r="N46" s="90" t="n">
        <v>0</v>
      </c>
      <c r="O46" s="82" t="inlineStr">
        <is>
          <t>amortizacao</t>
        </is>
      </c>
      <c r="P46" s="88" t="n">
        <v>0</v>
      </c>
      <c r="Q46" s="83" t="n">
        <v>0</v>
      </c>
      <c r="R46" s="91" t="n">
        <v>-96241.5</v>
      </c>
      <c r="S46" s="84" t="n">
        <v>-1123155.44</v>
      </c>
      <c r="T46" s="89" t="n">
        <v>-3158039.04</v>
      </c>
      <c r="U46" s="91" t="n">
        <v>0</v>
      </c>
      <c r="V46" s="91" t="n">
        <v>0</v>
      </c>
      <c r="W46" s="75" t="n"/>
    </row>
    <row r="47">
      <c r="A47" s="142" t="inlineStr">
        <is>
          <t>01/09/2018</t>
        </is>
      </c>
      <c r="B47" s="74" t="inlineStr">
        <is>
          <t>juros_encarg_add</t>
        </is>
      </c>
      <c r="C47" s="75" t="n">
        <v>464.3</v>
      </c>
      <c r="D47" s="75" t="n">
        <v>0</v>
      </c>
      <c r="E47" s="75" t="n">
        <v>-102569.34</v>
      </c>
      <c r="F47" s="77" t="n"/>
      <c r="G47" s="78" t="n">
        <v>30</v>
      </c>
      <c r="H47" s="78" t="n">
        <v>30</v>
      </c>
      <c r="I47" s="79" t="n">
        <v>-3077080.2</v>
      </c>
      <c r="J47" s="79" t="n">
        <v>-3077080.2</v>
      </c>
      <c r="K47" s="80" t="n">
        <v>101872.2270967742</v>
      </c>
      <c r="L47" s="80" t="n">
        <v>464.3</v>
      </c>
      <c r="M47" s="81" t="n">
        <v>0.004557670066041908</v>
      </c>
      <c r="N47" s="90" t="n">
        <v>0.05500021520886333</v>
      </c>
      <c r="O47" s="82" t="inlineStr">
        <is>
          <t>juros_encarg_add</t>
        </is>
      </c>
      <c r="P47" s="88" t="n">
        <v>0</v>
      </c>
      <c r="Q47" s="83" t="n">
        <v>464.3</v>
      </c>
      <c r="R47" s="91" t="n">
        <v>-96241.5</v>
      </c>
      <c r="S47" s="84" t="n">
        <v>-3077080.2</v>
      </c>
      <c r="T47" s="89" t="n">
        <v>-3077080.2</v>
      </c>
      <c r="U47" s="91" t="n">
        <v>101872.2270967742</v>
      </c>
      <c r="V47" s="91" t="n">
        <v>-453.2926166909854</v>
      </c>
      <c r="W47" s="75" t="n"/>
    </row>
    <row r="48">
      <c r="A48" s="142" t="inlineStr">
        <is>
          <t>01/10/2018</t>
        </is>
      </c>
      <c r="B48" s="74" t="inlineStr">
        <is>
          <t>juros_encarg_add</t>
        </is>
      </c>
      <c r="C48" s="75" t="n">
        <v>452.36</v>
      </c>
      <c r="D48" s="75" t="n">
        <v>0</v>
      </c>
      <c r="E48" s="75" t="n">
        <v>-103021.7</v>
      </c>
      <c r="F48" s="77" t="n"/>
      <c r="G48" s="78" t="n">
        <v>31</v>
      </c>
      <c r="H48" s="78" t="n">
        <v>31</v>
      </c>
      <c r="I48" s="79" t="n">
        <v>-3193672.7</v>
      </c>
      <c r="J48" s="79" t="n">
        <v>-3193672.7</v>
      </c>
      <c r="K48" s="80" t="n">
        <v>102569.34</v>
      </c>
      <c r="L48" s="80" t="n">
        <v>452.36</v>
      </c>
      <c r="M48" s="81" t="n">
        <v>0.004410284788807228</v>
      </c>
      <c r="N48" s="90" t="n">
        <v>0.05499970480743643</v>
      </c>
      <c r="O48" s="82" t="inlineStr">
        <is>
          <t>juros_encarg_add</t>
        </is>
      </c>
      <c r="P48" s="88" t="n">
        <v>0</v>
      </c>
      <c r="Q48" s="83" t="n">
        <v>452.36</v>
      </c>
      <c r="R48" s="91" t="n">
        <v>-96241.5</v>
      </c>
      <c r="S48" s="84" t="n">
        <v>-3193672.7</v>
      </c>
      <c r="T48" s="89" t="n">
        <v>-3193672.7</v>
      </c>
      <c r="U48" s="91" t="n">
        <v>102569.34</v>
      </c>
      <c r="V48" s="91" t="n">
        <v>-424.4524235019908</v>
      </c>
      <c r="W48" s="75" t="n"/>
    </row>
    <row r="49">
      <c r="A49" s="142" t="inlineStr">
        <is>
          <t>01/11/2018</t>
        </is>
      </c>
      <c r="B49" s="74" t="inlineStr">
        <is>
          <t>juros_encarg_add</t>
        </is>
      </c>
      <c r="C49" s="75" t="n">
        <v>469.54</v>
      </c>
      <c r="D49" s="75" t="n">
        <v>0</v>
      </c>
      <c r="E49" s="75" t="n">
        <v>-103491.24</v>
      </c>
      <c r="F49" s="77" t="n"/>
      <c r="G49" s="78" t="n">
        <v>30</v>
      </c>
      <c r="H49" s="78" t="n">
        <v>30</v>
      </c>
      <c r="I49" s="79" t="n">
        <v>-3104737.2</v>
      </c>
      <c r="J49" s="79" t="n">
        <v>-3104737.2</v>
      </c>
      <c r="K49" s="80" t="n">
        <v>103021.7</v>
      </c>
      <c r="L49" s="80" t="n">
        <v>469.54</v>
      </c>
      <c r="M49" s="81" t="n">
        <v>0.004557680566327216</v>
      </c>
      <c r="N49" s="90" t="n">
        <v>0.0550003450493004</v>
      </c>
      <c r="O49" s="82" t="inlineStr">
        <is>
          <t>juros_encarg_add</t>
        </is>
      </c>
      <c r="P49" s="88" t="n">
        <v>0</v>
      </c>
      <c r="Q49" s="83" t="n">
        <v>469.54</v>
      </c>
      <c r="R49" s="91" t="n">
        <v>-96241.5</v>
      </c>
      <c r="S49" s="84" t="n">
        <v>-3104737.2</v>
      </c>
      <c r="T49" s="89" t="n">
        <v>-3104737.2</v>
      </c>
      <c r="U49" s="91" t="n">
        <v>103021.7</v>
      </c>
      <c r="V49" s="91" t="n">
        <v>-453.2936610979489</v>
      </c>
      <c r="W49" s="75" t="n"/>
    </row>
    <row r="50">
      <c r="A50" s="142" t="inlineStr">
        <is>
          <t>01/12/2018</t>
        </is>
      </c>
      <c r="B50" s="74" t="inlineStr">
        <is>
          <t>juros_encarg_add</t>
        </is>
      </c>
      <c r="C50" s="75" t="n">
        <v>456.43</v>
      </c>
      <c r="D50" s="75" t="n">
        <v>0</v>
      </c>
      <c r="E50" s="75" t="n">
        <v>-103947.67</v>
      </c>
      <c r="F50" s="77" t="n"/>
      <c r="G50" s="78" t="n">
        <v>31</v>
      </c>
      <c r="H50" s="78" t="n">
        <v>31</v>
      </c>
      <c r="I50" s="79" t="n">
        <v>-3222377.77</v>
      </c>
      <c r="J50" s="79" t="n">
        <v>-3222377.77</v>
      </c>
      <c r="K50" s="80" t="n">
        <v>103491.24</v>
      </c>
      <c r="L50" s="80" t="n">
        <v>456.43</v>
      </c>
      <c r="M50" s="81" t="n">
        <v>0.004410324970499868</v>
      </c>
      <c r="N50" s="90" t="n">
        <v>0.05500021830823254</v>
      </c>
      <c r="O50" s="82" t="inlineStr">
        <is>
          <t>juros_encarg_add</t>
        </is>
      </c>
      <c r="P50" s="88" t="n">
        <v>0</v>
      </c>
      <c r="Q50" s="83" t="n">
        <v>456.43</v>
      </c>
      <c r="R50" s="91" t="n">
        <v>-96241.5</v>
      </c>
      <c r="S50" s="84" t="n">
        <v>-3222377.77</v>
      </c>
      <c r="T50" s="89" t="n">
        <v>-3222377.77</v>
      </c>
      <c r="U50" s="91" t="n">
        <v>103491.24</v>
      </c>
      <c r="V50" s="91" t="n">
        <v>-424.4562906483631</v>
      </c>
      <c r="W50" s="75" t="n"/>
    </row>
    <row r="51">
      <c r="A51" s="142" t="inlineStr">
        <is>
          <t>01/01/2019</t>
        </is>
      </c>
      <c r="B51" s="74" t="inlineStr">
        <is>
          <t>juros_encarg_add</t>
        </is>
      </c>
      <c r="C51" s="75" t="n">
        <v>473.76</v>
      </c>
      <c r="D51" s="75" t="n">
        <v>0</v>
      </c>
      <c r="E51" s="75" t="n">
        <v>-104421.43</v>
      </c>
      <c r="F51" s="77" t="n"/>
      <c r="G51" s="78" t="n">
        <v>31</v>
      </c>
      <c r="H51" s="78" t="n">
        <v>31</v>
      </c>
      <c r="I51" s="79" t="n">
        <v>-3237064.33</v>
      </c>
      <c r="J51" s="79" t="n">
        <v>-3237064.33</v>
      </c>
      <c r="K51" s="80" t="n">
        <v>103947.67</v>
      </c>
      <c r="L51" s="80" t="n">
        <v>473.76</v>
      </c>
      <c r="M51" s="81" t="n">
        <v>0.004557677916205316</v>
      </c>
      <c r="N51" s="90" t="n">
        <v>0.05500031227942892</v>
      </c>
      <c r="O51" s="82" t="inlineStr">
        <is>
          <t>juros_encarg_add</t>
        </is>
      </c>
      <c r="P51" s="88" t="n">
        <v>0</v>
      </c>
      <c r="Q51" s="83" t="n">
        <v>473.76</v>
      </c>
      <c r="R51" s="91" t="n">
        <v>-96241.5</v>
      </c>
      <c r="S51" s="84" t="n">
        <v>-3237064.33</v>
      </c>
      <c r="T51" s="89" t="n">
        <v>-3237064.33</v>
      </c>
      <c r="U51" s="91" t="n">
        <v>103947.67</v>
      </c>
      <c r="V51" s="91" t="n">
        <v>-453.2933975045624</v>
      </c>
      <c r="W51" s="75" t="n"/>
    </row>
    <row r="52">
      <c r="A52" s="142" t="inlineStr">
        <is>
          <t>01/02/2019</t>
        </is>
      </c>
      <c r="B52" s="74" t="inlineStr">
        <is>
          <t>juros_encarg_add</t>
        </is>
      </c>
      <c r="C52" s="75" t="n">
        <v>475.92</v>
      </c>
      <c r="D52" s="75" t="n">
        <v>0</v>
      </c>
      <c r="E52" s="75" t="n">
        <v>-104897.35</v>
      </c>
      <c r="F52" s="77" t="n"/>
      <c r="G52" s="78" t="n">
        <v>28</v>
      </c>
      <c r="H52" s="78" t="n">
        <v>28</v>
      </c>
      <c r="I52" s="79" t="n">
        <v>-2937125.8</v>
      </c>
      <c r="J52" s="79" t="n">
        <v>-2937125.8</v>
      </c>
      <c r="K52" s="80" t="n">
        <v>104421.43</v>
      </c>
      <c r="L52" s="80" t="n">
        <v>475.92</v>
      </c>
      <c r="M52" s="81" t="n">
        <v>0.004557685141833412</v>
      </c>
      <c r="N52" s="90" t="n">
        <v>0.05500040162736042</v>
      </c>
      <c r="O52" s="82" t="inlineStr">
        <is>
          <t>juros_encarg_add</t>
        </is>
      </c>
      <c r="P52" s="88" t="n">
        <v>0</v>
      </c>
      <c r="Q52" s="83" t="n">
        <v>475.92</v>
      </c>
      <c r="R52" s="91" t="n">
        <v>-96241.5</v>
      </c>
      <c r="S52" s="84" t="n">
        <v>-2937125.8</v>
      </c>
      <c r="T52" s="89" t="n">
        <v>-2937125.8</v>
      </c>
      <c r="U52" s="91" t="n">
        <v>104421.43</v>
      </c>
      <c r="V52" s="91" t="n">
        <v>-453.2941161989432</v>
      </c>
      <c r="W52" s="75" t="n"/>
    </row>
    <row r="53">
      <c r="A53" s="142" t="inlineStr">
        <is>
          <t>01/03/2019</t>
        </is>
      </c>
      <c r="B53" s="74" t="inlineStr">
        <is>
          <t>juros_encarg_add</t>
        </is>
      </c>
      <c r="C53" s="75" t="n">
        <v>431.72</v>
      </c>
      <c r="D53" s="75" t="n">
        <v>0</v>
      </c>
      <c r="E53" s="75" t="n">
        <v>-105329.07</v>
      </c>
      <c r="F53" s="77" t="n"/>
      <c r="G53" s="78" t="n">
        <v>31</v>
      </c>
      <c r="H53" s="78" t="n">
        <v>31</v>
      </c>
      <c r="I53" s="79" t="n">
        <v>-3265201.17</v>
      </c>
      <c r="J53" s="79" t="n">
        <v>-3265201.17</v>
      </c>
      <c r="K53" s="80" t="n">
        <v>104897.35</v>
      </c>
      <c r="L53" s="80" t="n">
        <v>431.72</v>
      </c>
      <c r="M53" s="81" t="n">
        <v>0.004115642578196743</v>
      </c>
      <c r="N53" s="90" t="n">
        <v>0.05499944401213863</v>
      </c>
      <c r="O53" s="82" t="inlineStr">
        <is>
          <t>juros_encarg_add</t>
        </is>
      </c>
      <c r="P53" s="88" t="n">
        <v>0</v>
      </c>
      <c r="Q53" s="83" t="n">
        <v>431.72</v>
      </c>
      <c r="R53" s="91" t="n">
        <v>-96241.5</v>
      </c>
      <c r="S53" s="84" t="n">
        <v>-3265201.17</v>
      </c>
      <c r="T53" s="89" t="n">
        <v>-3265201.17</v>
      </c>
      <c r="U53" s="91" t="n">
        <v>104897.35</v>
      </c>
      <c r="V53" s="91" t="n">
        <v>-369.6385979429375</v>
      </c>
      <c r="W53" s="75" t="n"/>
    </row>
    <row r="54">
      <c r="A54" s="142" t="inlineStr">
        <is>
          <t>01/04/2019</t>
        </is>
      </c>
      <c r="B54" s="74" t="inlineStr">
        <is>
          <t>juros_encarg_add</t>
        </is>
      </c>
      <c r="C54" s="75" t="n">
        <v>480.05</v>
      </c>
      <c r="D54" s="75" t="n">
        <v>0</v>
      </c>
      <c r="E54" s="75" t="n">
        <v>-105809.12</v>
      </c>
      <c r="F54" s="77" t="n"/>
      <c r="G54" s="78" t="n">
        <v>30</v>
      </c>
      <c r="H54" s="78" t="n">
        <v>30</v>
      </c>
      <c r="I54" s="79" t="n">
        <v>-3174273.6</v>
      </c>
      <c r="J54" s="79" t="n">
        <v>-3174273.6</v>
      </c>
      <c r="K54" s="80" t="n">
        <v>105329.07</v>
      </c>
      <c r="L54" s="80" t="n">
        <v>480.05</v>
      </c>
      <c r="M54" s="81" t="n">
        <v>0.004557621177135651</v>
      </c>
      <c r="N54" s="90" t="n">
        <v>0.05499961067720038</v>
      </c>
      <c r="O54" s="82" t="inlineStr">
        <is>
          <t>juros_encarg_add</t>
        </is>
      </c>
      <c r="P54" s="88" t="n">
        <v>0</v>
      </c>
      <c r="Q54" s="83" t="n">
        <v>480.05</v>
      </c>
      <c r="R54" s="91" t="n">
        <v>-96241.5</v>
      </c>
      <c r="S54" s="84" t="n">
        <v>-3174273.6</v>
      </c>
      <c r="T54" s="89" t="n">
        <v>-3174273.6</v>
      </c>
      <c r="U54" s="91" t="n">
        <v>105329.07</v>
      </c>
      <c r="V54" s="91" t="n">
        <v>-453.2877539742529</v>
      </c>
      <c r="W54" s="75" t="n"/>
    </row>
    <row r="55">
      <c r="A55" s="142" t="inlineStr">
        <is>
          <t>01/05/2019</t>
        </is>
      </c>
      <c r="B55" s="74" t="inlineStr">
        <is>
          <t>juros_encarg_add</t>
        </is>
      </c>
      <c r="C55" s="75" t="n">
        <v>466.65</v>
      </c>
      <c r="D55" s="75" t="n">
        <v>0</v>
      </c>
      <c r="E55" s="75" t="n">
        <v>-106275.77</v>
      </c>
      <c r="F55" s="77" t="n"/>
      <c r="G55" s="78" t="n">
        <v>16</v>
      </c>
      <c r="H55" s="78" t="n">
        <v>16</v>
      </c>
      <c r="I55" s="79" t="n">
        <v>-1700412.32</v>
      </c>
      <c r="J55" s="79" t="n">
        <v>-1700412.32</v>
      </c>
      <c r="K55" s="80" t="n">
        <v>105809.12</v>
      </c>
      <c r="L55" s="80" t="n">
        <v>466.65</v>
      </c>
      <c r="M55" s="81" t="n">
        <v>0.004410300359742214</v>
      </c>
      <c r="N55" s="90" t="n">
        <v>0.05499990379572917</v>
      </c>
      <c r="O55" s="82" t="inlineStr">
        <is>
          <t>juros_encarg_add</t>
        </is>
      </c>
      <c r="P55" s="88" t="n">
        <v>0</v>
      </c>
      <c r="Q55" s="83" t="n">
        <v>466.65</v>
      </c>
      <c r="R55" s="91" t="n">
        <v>-96241.5</v>
      </c>
      <c r="S55" s="84" t="n">
        <v>-1700412.32</v>
      </c>
      <c r="T55" s="89" t="n">
        <v>-1700412.32</v>
      </c>
      <c r="U55" s="91" t="n">
        <v>105809.12</v>
      </c>
      <c r="V55" s="91" t="n">
        <v>-424.4539220721303</v>
      </c>
      <c r="W55" s="75" t="n"/>
    </row>
    <row r="56">
      <c r="A56" s="142" t="inlineStr">
        <is>
          <t>17/05/2019</t>
        </is>
      </c>
      <c r="B56" s="74" t="inlineStr">
        <is>
          <t>amortizacao</t>
        </is>
      </c>
      <c r="C56" s="75" t="n">
        <v>0</v>
      </c>
      <c r="D56" s="75" t="n">
        <v>58.92</v>
      </c>
      <c r="E56" s="75" t="n">
        <v>-106216.85</v>
      </c>
      <c r="F56" s="77" t="n"/>
      <c r="G56" s="78" t="n">
        <v>11</v>
      </c>
      <c r="H56" s="78" t="n">
        <v>27</v>
      </c>
      <c r="I56" s="79" t="n">
        <v>-1168385.35</v>
      </c>
      <c r="J56" s="79" t="n">
        <v>-2868797.67</v>
      </c>
      <c r="K56" s="80" t="n">
        <v>0</v>
      </c>
      <c r="L56" s="80" t="n">
        <v>0</v>
      </c>
      <c r="M56" s="81" t="n">
        <v>0</v>
      </c>
      <c r="N56" s="90" t="n">
        <v>0</v>
      </c>
      <c r="O56" s="82" t="inlineStr">
        <is>
          <t>amortizacao</t>
        </is>
      </c>
      <c r="P56" s="88" t="n">
        <v>0</v>
      </c>
      <c r="Q56" s="83" t="n">
        <v>0</v>
      </c>
      <c r="R56" s="91" t="n">
        <v>-96182.58</v>
      </c>
      <c r="S56" s="84" t="n">
        <v>-1168385.35</v>
      </c>
      <c r="T56" s="89" t="n">
        <v>-2868797.67</v>
      </c>
      <c r="U56" s="91" t="n">
        <v>0</v>
      </c>
      <c r="V56" s="91" t="n">
        <v>0</v>
      </c>
      <c r="W56" s="75" t="n"/>
    </row>
    <row r="57">
      <c r="A57" s="142" t="inlineStr">
        <is>
          <t>28/05/2019</t>
        </is>
      </c>
      <c r="B57" s="74" t="inlineStr">
        <is>
          <t>amortizacao</t>
        </is>
      </c>
      <c r="C57" s="75" t="n">
        <v>0</v>
      </c>
      <c r="D57" s="75" t="n">
        <v>83.91</v>
      </c>
      <c r="E57" s="75" t="n">
        <v>-106132.94</v>
      </c>
      <c r="F57" s="77" t="n"/>
      <c r="G57" s="78" t="n">
        <v>0</v>
      </c>
      <c r="H57" s="78" t="n">
        <v>27</v>
      </c>
      <c r="I57" s="79" t="n">
        <v>-0</v>
      </c>
      <c r="J57" s="79" t="n">
        <v>-2868797.67</v>
      </c>
      <c r="K57" s="80" t="n">
        <v>0</v>
      </c>
      <c r="L57" s="80" t="n">
        <v>0</v>
      </c>
      <c r="M57" s="81" t="n">
        <v>0</v>
      </c>
      <c r="N57" s="90" t="n">
        <v>0</v>
      </c>
      <c r="O57" s="82" t="inlineStr">
        <is>
          <t>amortizacao</t>
        </is>
      </c>
      <c r="P57" s="88" t="n">
        <v>0</v>
      </c>
      <c r="Q57" s="83" t="n">
        <v>0</v>
      </c>
      <c r="R57" s="91" t="n">
        <v>-96098.67</v>
      </c>
      <c r="S57" s="84" t="n">
        <v>-0</v>
      </c>
      <c r="T57" s="89" t="n">
        <v>-2868797.67</v>
      </c>
      <c r="U57" s="91" t="n">
        <v>0</v>
      </c>
      <c r="V57" s="91" t="n">
        <v>0</v>
      </c>
      <c r="W57" s="75" t="n"/>
    </row>
    <row r="58">
      <c r="A58" s="142" t="inlineStr">
        <is>
          <t>28/05/2019</t>
        </is>
      </c>
      <c r="B58" s="74" t="inlineStr">
        <is>
          <t>amortizacao</t>
        </is>
      </c>
      <c r="C58" s="75" t="n">
        <v>0</v>
      </c>
      <c r="D58" s="75" t="n">
        <v>6249.06</v>
      </c>
      <c r="E58" s="75" t="n">
        <v>-99883.88</v>
      </c>
      <c r="F58" s="77" t="n"/>
      <c r="G58" s="78" t="n">
        <v>0</v>
      </c>
      <c r="H58" s="78" t="n">
        <v>27</v>
      </c>
      <c r="I58" s="79" t="n">
        <v>-0</v>
      </c>
      <c r="J58" s="79" t="n">
        <v>-2868797.67</v>
      </c>
      <c r="K58" s="80" t="n">
        <v>0</v>
      </c>
      <c r="L58" s="80" t="n">
        <v>0</v>
      </c>
      <c r="M58" s="81" t="n">
        <v>0</v>
      </c>
      <c r="N58" s="90" t="n">
        <v>0</v>
      </c>
      <c r="O58" s="82" t="inlineStr">
        <is>
          <t>amortizacao</t>
        </is>
      </c>
      <c r="P58" s="88" t="n">
        <v>0</v>
      </c>
      <c r="Q58" s="83" t="n">
        <v>0</v>
      </c>
      <c r="R58" s="91" t="n">
        <v>-89849.61</v>
      </c>
      <c r="S58" s="84" t="n">
        <v>-0</v>
      </c>
      <c r="T58" s="89" t="n">
        <v>-2868797.67</v>
      </c>
      <c r="U58" s="91" t="n">
        <v>0</v>
      </c>
      <c r="V58" s="91" t="n">
        <v>0</v>
      </c>
      <c r="W58" s="75" t="n"/>
    </row>
    <row r="59">
      <c r="A59" s="142" t="inlineStr">
        <is>
          <t>28/05/2019</t>
        </is>
      </c>
      <c r="B59" s="74" t="inlineStr">
        <is>
          <t>amortizacao</t>
        </is>
      </c>
      <c r="C59" s="75" t="n">
        <v>0</v>
      </c>
      <c r="D59" s="75" t="n">
        <v>708.54</v>
      </c>
      <c r="E59" s="75" t="n">
        <v>-99175.34</v>
      </c>
      <c r="F59" s="77" t="n"/>
      <c r="G59" s="78" t="n">
        <v>0</v>
      </c>
      <c r="H59" s="78" t="n">
        <v>27</v>
      </c>
      <c r="I59" s="79" t="n">
        <v>-0</v>
      </c>
      <c r="J59" s="79" t="n">
        <v>-2868797.67</v>
      </c>
      <c r="K59" s="80" t="n">
        <v>0</v>
      </c>
      <c r="L59" s="80" t="n">
        <v>0</v>
      </c>
      <c r="M59" s="81" t="n">
        <v>0</v>
      </c>
      <c r="N59" s="90" t="n">
        <v>0</v>
      </c>
      <c r="O59" s="82" t="inlineStr">
        <is>
          <t>amortizacao</t>
        </is>
      </c>
      <c r="P59" s="88" t="n">
        <v>0</v>
      </c>
      <c r="Q59" s="83" t="n">
        <v>0</v>
      </c>
      <c r="R59" s="91" t="n">
        <v>-89141.07000000001</v>
      </c>
      <c r="S59" s="84" t="n">
        <v>-0</v>
      </c>
      <c r="T59" s="89" t="n">
        <v>-2868797.67</v>
      </c>
      <c r="U59" s="91" t="n">
        <v>0</v>
      </c>
      <c r="V59" s="91" t="n">
        <v>0</v>
      </c>
      <c r="W59" s="75" t="n"/>
    </row>
    <row r="60" hidden="1" ht="13.5" customHeight="1">
      <c r="A60" s="142" t="inlineStr">
        <is>
          <t>28/05/2019</t>
        </is>
      </c>
      <c r="B60" s="74" t="inlineStr">
        <is>
          <t>amortizacao</t>
        </is>
      </c>
      <c r="C60" s="75" t="n">
        <v>0</v>
      </c>
      <c r="D60" s="75" t="n">
        <v>4444.44</v>
      </c>
      <c r="E60" s="75" t="n">
        <v>-94730.89999999999</v>
      </c>
      <c r="F60" s="77" t="n"/>
      <c r="G60" s="78" t="n">
        <v>0</v>
      </c>
      <c r="H60" s="78" t="n">
        <v>27</v>
      </c>
      <c r="I60" s="79" t="n">
        <v>-0</v>
      </c>
      <c r="J60" s="79" t="n">
        <v>-2868797.67</v>
      </c>
      <c r="K60" s="80" t="n">
        <v>0</v>
      </c>
      <c r="L60" s="80" t="n">
        <v>0</v>
      </c>
      <c r="M60" s="81" t="n">
        <v>0</v>
      </c>
      <c r="N60" s="90" t="n">
        <v>0</v>
      </c>
      <c r="O60" s="82" t="inlineStr">
        <is>
          <t>amortizacao</t>
        </is>
      </c>
      <c r="P60" s="88" t="n">
        <v>0</v>
      </c>
      <c r="Q60" s="83" t="n">
        <v>0</v>
      </c>
      <c r="R60" s="91" t="n">
        <v>-84696.63</v>
      </c>
      <c r="S60" s="84" t="n">
        <v>-0</v>
      </c>
      <c r="T60" s="89" t="n">
        <v>-2868797.67</v>
      </c>
      <c r="U60" s="91" t="n">
        <v>0</v>
      </c>
      <c r="V60" s="91" t="n">
        <v>0</v>
      </c>
      <c r="W60" s="75" t="n"/>
    </row>
    <row r="61" hidden="1" ht="13.5" customHeight="1">
      <c r="A61" s="142" t="inlineStr">
        <is>
          <t>28/05/2019</t>
        </is>
      </c>
      <c r="B61" s="74" t="inlineStr">
        <is>
          <t>amortizacao</t>
        </is>
      </c>
      <c r="C61" s="75" t="n">
        <v>0</v>
      </c>
      <c r="D61" s="75" t="n">
        <v>539.79</v>
      </c>
      <c r="E61" s="75" t="n">
        <v>-94191.11</v>
      </c>
      <c r="F61" s="77" t="n"/>
      <c r="G61" s="78" t="n">
        <v>4</v>
      </c>
      <c r="H61" s="78" t="n">
        <v>31</v>
      </c>
      <c r="I61" s="79" t="n">
        <v>-376764.44</v>
      </c>
      <c r="J61" s="79" t="n">
        <v>-3245562.11</v>
      </c>
      <c r="K61" s="80" t="n">
        <v>0</v>
      </c>
      <c r="L61" s="80" t="n">
        <v>0</v>
      </c>
      <c r="M61" s="81" t="n">
        <v>0</v>
      </c>
      <c r="N61" s="90" t="n">
        <v>0</v>
      </c>
      <c r="O61" s="82" t="inlineStr">
        <is>
          <t>amortizacao</t>
        </is>
      </c>
      <c r="P61" s="88" t="n">
        <v>0</v>
      </c>
      <c r="Q61" s="83" t="n">
        <v>0</v>
      </c>
      <c r="R61" s="91" t="n">
        <v>-84156.84000000001</v>
      </c>
      <c r="S61" s="84" t="n">
        <v>-376764.44</v>
      </c>
      <c r="T61" s="89" t="n">
        <v>-3245562.11</v>
      </c>
      <c r="U61" s="91" t="n">
        <v>0</v>
      </c>
      <c r="V61" s="91" t="n">
        <v>0</v>
      </c>
      <c r="W61" s="75" t="n"/>
    </row>
    <row r="62">
      <c r="A62" s="142" t="inlineStr">
        <is>
          <t>01/06/2019</t>
        </is>
      </c>
      <c r="B62" s="74" t="inlineStr">
        <is>
          <t>juros_encarg_add</t>
        </is>
      </c>
      <c r="C62" s="75" t="n">
        <v>477.18</v>
      </c>
      <c r="D62" s="75" t="n">
        <v>0</v>
      </c>
      <c r="E62" s="75" t="n">
        <v>-94668.28999999999</v>
      </c>
      <c r="F62" s="77" t="n"/>
      <c r="G62" s="78" t="n">
        <v>30</v>
      </c>
      <c r="H62" s="78" t="n">
        <v>30</v>
      </c>
      <c r="I62" s="79" t="n">
        <v>-2840048.7</v>
      </c>
      <c r="J62" s="79" t="n">
        <v>-2840048.7</v>
      </c>
      <c r="K62" s="80" t="n">
        <v>104695.5519354839</v>
      </c>
      <c r="L62" s="80" t="n">
        <v>477.18</v>
      </c>
      <c r="M62" s="81" t="n">
        <v>0.004557786755774007</v>
      </c>
      <c r="N62" s="90" t="n">
        <v>0.05500165812722302</v>
      </c>
      <c r="O62" s="82" t="inlineStr">
        <is>
          <t>juros_encarg_add</t>
        </is>
      </c>
      <c r="P62" s="88" t="n">
        <v>0</v>
      </c>
      <c r="Q62" s="83" t="n">
        <v>477.18</v>
      </c>
      <c r="R62" s="91" t="n">
        <v>-84156.84000000001</v>
      </c>
      <c r="S62" s="84" t="n">
        <v>-2840048.7</v>
      </c>
      <c r="T62" s="89" t="n">
        <v>-2840048.7</v>
      </c>
      <c r="U62" s="91" t="n">
        <v>104695.5519354839</v>
      </c>
      <c r="V62" s="91" t="n">
        <v>-445.8612851428762</v>
      </c>
      <c r="W62" s="75" t="n"/>
    </row>
    <row r="63">
      <c r="A63" s="142" t="inlineStr">
        <is>
          <t>01/07/2019</t>
        </is>
      </c>
      <c r="B63" s="74" t="inlineStr">
        <is>
          <t>juros_encarg_add</t>
        </is>
      </c>
      <c r="C63" s="75" t="n">
        <v>417.52</v>
      </c>
      <c r="D63" s="75" t="n">
        <v>0</v>
      </c>
      <c r="E63" s="75" t="n">
        <v>-95085.81</v>
      </c>
      <c r="F63" s="77" t="n"/>
      <c r="G63" s="78" t="n">
        <v>31</v>
      </c>
      <c r="H63" s="78" t="n">
        <v>31</v>
      </c>
      <c r="I63" s="79" t="n">
        <v>-2947660.11</v>
      </c>
      <c r="J63" s="79" t="n">
        <v>-2947660.11</v>
      </c>
      <c r="K63" s="80" t="n">
        <v>94668.28999999999</v>
      </c>
      <c r="L63" s="80" t="n">
        <v>417.52</v>
      </c>
      <c r="M63" s="81" t="n">
        <v>0.004410346907079532</v>
      </c>
      <c r="N63" s="90" t="n">
        <v>0.05500049864622381</v>
      </c>
      <c r="O63" s="82" t="inlineStr">
        <is>
          <t>juros_encarg_add</t>
        </is>
      </c>
      <c r="P63" s="88" t="n">
        <v>0</v>
      </c>
      <c r="Q63" s="83" t="n">
        <v>417.52</v>
      </c>
      <c r="R63" s="91" t="n">
        <v>-84156.84000000001</v>
      </c>
      <c r="S63" s="84" t="n">
        <v>-2947660.11</v>
      </c>
      <c r="T63" s="89" t="n">
        <v>-2947660.11</v>
      </c>
      <c r="U63" s="91" t="n">
        <v>94668.28999999999</v>
      </c>
      <c r="V63" s="91" t="n">
        <v>-371.1608590035871</v>
      </c>
      <c r="W63" s="75" t="n"/>
    </row>
    <row r="64">
      <c r="A64" s="142" t="inlineStr">
        <is>
          <t>01/08/2019</t>
        </is>
      </c>
      <c r="B64" s="74" t="inlineStr">
        <is>
          <t>juros_encarg_add</t>
        </is>
      </c>
      <c r="C64" s="75" t="n">
        <v>433.37</v>
      </c>
      <c r="D64" s="75" t="n">
        <v>0</v>
      </c>
      <c r="E64" s="75" t="n">
        <v>-95519.17999999999</v>
      </c>
      <c r="F64" s="77" t="n"/>
      <c r="G64" s="78" t="n">
        <v>19</v>
      </c>
      <c r="H64" s="78" t="n">
        <v>19</v>
      </c>
      <c r="I64" s="79" t="n">
        <v>-1814864.42</v>
      </c>
      <c r="J64" s="79" t="n">
        <v>-1814864.42</v>
      </c>
      <c r="K64" s="80" t="n">
        <v>95085.81</v>
      </c>
      <c r="L64" s="80" t="n">
        <v>433.37</v>
      </c>
      <c r="M64" s="81" t="n">
        <v>0.004557672695852277</v>
      </c>
      <c r="N64" s="90" t="n">
        <v>0.05500024772757151</v>
      </c>
      <c r="O64" s="82" t="inlineStr">
        <is>
          <t>juros_encarg_add</t>
        </is>
      </c>
      <c r="P64" s="88" t="n">
        <v>0</v>
      </c>
      <c r="Q64" s="83" t="n">
        <v>433.37</v>
      </c>
      <c r="R64" s="91" t="n">
        <v>-84156.84000000001</v>
      </c>
      <c r="S64" s="84" t="n">
        <v>-1814864.42</v>
      </c>
      <c r="T64" s="89" t="n">
        <v>-1814864.42</v>
      </c>
      <c r="U64" s="91" t="n">
        <v>95085.81</v>
      </c>
      <c r="V64" s="91" t="n">
        <v>-396.3747056021743</v>
      </c>
      <c r="W64" s="75" t="n"/>
    </row>
    <row r="65">
      <c r="A65" s="142" t="inlineStr">
        <is>
          <t>20/08/2019</t>
        </is>
      </c>
      <c r="B65" s="74" t="inlineStr">
        <is>
          <t>seguro_penhor</t>
        </is>
      </c>
      <c r="C65" s="75" t="n">
        <v>255.9</v>
      </c>
      <c r="D65" s="75" t="n">
        <v>0</v>
      </c>
      <c r="E65" s="75" t="n">
        <v>-95775.08</v>
      </c>
      <c r="F65" s="77" t="n"/>
      <c r="G65" s="78" t="n">
        <v>0</v>
      </c>
      <c r="H65" s="78" t="n">
        <v>19</v>
      </c>
      <c r="I65" s="79" t="n">
        <v>-0</v>
      </c>
      <c r="J65" s="79" t="n">
        <v>-1814864.42</v>
      </c>
      <c r="K65" s="80" t="n">
        <v>0</v>
      </c>
      <c r="L65" s="80" t="n">
        <v>0</v>
      </c>
      <c r="M65" s="81" t="n">
        <v>0</v>
      </c>
      <c r="N65" s="90" t="n">
        <v>0</v>
      </c>
      <c r="O65" s="82" t="inlineStr">
        <is>
          <t>seguro_penhor</t>
        </is>
      </c>
      <c r="P65" s="88" t="n">
        <v>0</v>
      </c>
      <c r="Q65" s="83" t="n">
        <v>255.9</v>
      </c>
      <c r="R65" s="91" t="n">
        <v>-84156.84000000001</v>
      </c>
      <c r="S65" s="84" t="n">
        <v>-0</v>
      </c>
      <c r="T65" s="89" t="n">
        <v>-1814864.42</v>
      </c>
      <c r="U65" s="91" t="n">
        <v>0</v>
      </c>
      <c r="V65" s="91" t="n">
        <v>0</v>
      </c>
      <c r="W65" s="75" t="n"/>
    </row>
    <row r="66">
      <c r="A66" s="142" t="inlineStr">
        <is>
          <t>20/08/2019</t>
        </is>
      </c>
      <c r="B66" s="74" t="inlineStr">
        <is>
          <t>seguro_penhor</t>
        </is>
      </c>
      <c r="C66" s="75" t="n">
        <v>74.29000000000001</v>
      </c>
      <c r="D66" s="75" t="n">
        <v>0</v>
      </c>
      <c r="E66" s="75" t="n">
        <v>-95849.37</v>
      </c>
      <c r="F66" s="77" t="n"/>
      <c r="G66" s="78" t="n">
        <v>0</v>
      </c>
      <c r="H66" s="78" t="n">
        <v>19</v>
      </c>
      <c r="I66" s="79" t="n">
        <v>-0</v>
      </c>
      <c r="J66" s="79" t="n">
        <v>-1814864.42</v>
      </c>
      <c r="K66" s="80" t="n">
        <v>0</v>
      </c>
      <c r="L66" s="80" t="n">
        <v>0</v>
      </c>
      <c r="M66" s="81" t="n">
        <v>0</v>
      </c>
      <c r="N66" s="90" t="n">
        <v>0</v>
      </c>
      <c r="O66" s="82" t="inlineStr">
        <is>
          <t>seguro_penhor</t>
        </is>
      </c>
      <c r="P66" s="88" t="n">
        <v>0</v>
      </c>
      <c r="Q66" s="83" t="n">
        <v>74.29000000000001</v>
      </c>
      <c r="R66" s="91" t="n">
        <v>-84156.84000000001</v>
      </c>
      <c r="S66" s="84" t="n">
        <v>-0</v>
      </c>
      <c r="T66" s="89" t="n">
        <v>-1814864.42</v>
      </c>
      <c r="U66" s="91" t="n">
        <v>0</v>
      </c>
      <c r="V66" s="91" t="n">
        <v>0</v>
      </c>
      <c r="W66" s="75" t="n"/>
    </row>
    <row r="67">
      <c r="A67" s="142" t="inlineStr">
        <is>
          <t>20/08/2019</t>
        </is>
      </c>
      <c r="B67" s="74" t="inlineStr">
        <is>
          <t>iof</t>
        </is>
      </c>
      <c r="C67" s="75" t="n">
        <v>0.97</v>
      </c>
      <c r="D67" s="75" t="n">
        <v>0</v>
      </c>
      <c r="E67" s="75" t="n">
        <v>-95850.34</v>
      </c>
      <c r="F67" s="77" t="n"/>
      <c r="G67" s="78" t="n">
        <v>0</v>
      </c>
      <c r="H67" s="78" t="n">
        <v>19</v>
      </c>
      <c r="I67" s="79" t="n">
        <v>-0</v>
      </c>
      <c r="J67" s="79" t="n">
        <v>-1814864.42</v>
      </c>
      <c r="K67" s="80" t="n">
        <v>0</v>
      </c>
      <c r="L67" s="80" t="n">
        <v>0</v>
      </c>
      <c r="M67" s="81" t="n">
        <v>0</v>
      </c>
      <c r="N67" s="90" t="n">
        <v>0</v>
      </c>
      <c r="O67" s="82" t="inlineStr">
        <is>
          <t>iof</t>
        </is>
      </c>
      <c r="P67" s="88" t="n">
        <v>0</v>
      </c>
      <c r="Q67" s="83" t="n">
        <v>0</v>
      </c>
      <c r="R67" s="91" t="n">
        <v>-84157.81000000001</v>
      </c>
      <c r="S67" s="84" t="n">
        <v>-0</v>
      </c>
      <c r="T67" s="89" t="n">
        <v>-1814864.42</v>
      </c>
      <c r="U67" s="91" t="n">
        <v>0</v>
      </c>
      <c r="V67" s="91" t="n">
        <v>0</v>
      </c>
      <c r="W67" s="75" t="n"/>
    </row>
    <row r="68">
      <c r="A68" s="142" t="inlineStr">
        <is>
          <t>20/08/2019</t>
        </is>
      </c>
      <c r="B68" s="74" t="inlineStr">
        <is>
          <t>iof</t>
        </is>
      </c>
      <c r="C68" s="75" t="n">
        <v>0.28</v>
      </c>
      <c r="D68" s="75" t="n">
        <v>0</v>
      </c>
      <c r="E68" s="75" t="n">
        <v>-95850.62</v>
      </c>
      <c r="F68" s="77" t="n"/>
      <c r="G68" s="78" t="n">
        <v>0</v>
      </c>
      <c r="H68" s="78" t="n">
        <v>19</v>
      </c>
      <c r="I68" s="79" t="n">
        <v>-0</v>
      </c>
      <c r="J68" s="79" t="n">
        <v>-1814864.42</v>
      </c>
      <c r="K68" s="80" t="n">
        <v>0</v>
      </c>
      <c r="L68" s="80" t="n">
        <v>0</v>
      </c>
      <c r="M68" s="81" t="n">
        <v>0</v>
      </c>
      <c r="N68" s="90" t="n">
        <v>0</v>
      </c>
      <c r="O68" s="82" t="inlineStr">
        <is>
          <t>iof</t>
        </is>
      </c>
      <c r="P68" s="88" t="n">
        <v>0</v>
      </c>
      <c r="Q68" s="83" t="n">
        <v>0</v>
      </c>
      <c r="R68" s="91" t="n">
        <v>-84158.09000000001</v>
      </c>
      <c r="S68" s="84" t="n">
        <v>-0</v>
      </c>
      <c r="T68" s="89" t="n">
        <v>-1814864.42</v>
      </c>
      <c r="U68" s="91" t="n">
        <v>0</v>
      </c>
      <c r="V68" s="91" t="n">
        <v>0</v>
      </c>
      <c r="W68" s="75" t="n"/>
    </row>
    <row r="69">
      <c r="A69" s="142" t="inlineStr">
        <is>
          <t>20/08/2019</t>
        </is>
      </c>
      <c r="B69" s="74" t="inlineStr">
        <is>
          <t>amortizacao</t>
        </is>
      </c>
      <c r="C69" s="75" t="n">
        <v>0</v>
      </c>
      <c r="D69" s="75" t="n">
        <v>0.97</v>
      </c>
      <c r="E69" s="75" t="n">
        <v>-95849.64999999999</v>
      </c>
      <c r="F69" s="77" t="n"/>
      <c r="G69" s="78" t="n">
        <v>0</v>
      </c>
      <c r="H69" s="78" t="n">
        <v>19</v>
      </c>
      <c r="I69" s="79" t="n">
        <v>-0</v>
      </c>
      <c r="J69" s="79" t="n">
        <v>-1814864.42</v>
      </c>
      <c r="K69" s="80" t="n">
        <v>0</v>
      </c>
      <c r="L69" s="80" t="n">
        <v>0</v>
      </c>
      <c r="M69" s="81" t="n">
        <v>0</v>
      </c>
      <c r="N69" s="90" t="n">
        <v>0</v>
      </c>
      <c r="O69" s="82" t="inlineStr">
        <is>
          <t>amortizacao</t>
        </is>
      </c>
      <c r="P69" s="88" t="n">
        <v>0</v>
      </c>
      <c r="Q69" s="83" t="n">
        <v>0</v>
      </c>
      <c r="R69" s="91" t="n">
        <v>-84157.12000000001</v>
      </c>
      <c r="S69" s="84" t="n">
        <v>-0</v>
      </c>
      <c r="T69" s="89" t="n">
        <v>-1814864.42</v>
      </c>
      <c r="U69" s="91" t="n">
        <v>0</v>
      </c>
      <c r="V69" s="91" t="n">
        <v>0</v>
      </c>
      <c r="W69" s="75" t="n"/>
    </row>
    <row r="70">
      <c r="A70" s="142" t="inlineStr">
        <is>
          <t>20/08/2019</t>
        </is>
      </c>
      <c r="B70" s="74" t="inlineStr">
        <is>
          <t>amortizacao</t>
        </is>
      </c>
      <c r="C70" s="75" t="n">
        <v>0</v>
      </c>
      <c r="D70" s="75" t="n">
        <v>0.28</v>
      </c>
      <c r="E70" s="75" t="n">
        <v>-95849.37</v>
      </c>
      <c r="F70" s="77" t="n"/>
      <c r="G70" s="78" t="n">
        <v>12</v>
      </c>
      <c r="H70" s="78" t="n">
        <v>31</v>
      </c>
      <c r="I70" s="79" t="n">
        <v>-1150192.44</v>
      </c>
      <c r="J70" s="79" t="n">
        <v>-2965056.86</v>
      </c>
      <c r="K70" s="80" t="n">
        <v>0</v>
      </c>
      <c r="L70" s="80" t="n">
        <v>0</v>
      </c>
      <c r="M70" s="81" t="n">
        <v>0</v>
      </c>
      <c r="N70" s="90" t="n">
        <v>0</v>
      </c>
      <c r="O70" s="82" t="inlineStr">
        <is>
          <t>amortizacao</t>
        </is>
      </c>
      <c r="P70" s="88" t="n">
        <v>0</v>
      </c>
      <c r="Q70" s="83" t="n">
        <v>0</v>
      </c>
      <c r="R70" s="91" t="n">
        <v>-84156.84000000001</v>
      </c>
      <c r="S70" s="84" t="n">
        <v>-1150192.44</v>
      </c>
      <c r="T70" s="89" t="n">
        <v>-2965056.86</v>
      </c>
      <c r="U70" s="91" t="n">
        <v>0</v>
      </c>
      <c r="V70" s="91" t="n">
        <v>0</v>
      </c>
      <c r="W70" s="75" t="n"/>
    </row>
    <row r="71">
      <c r="A71" s="142" t="inlineStr">
        <is>
          <t>01/09/2019</t>
        </is>
      </c>
      <c r="B71" s="74" t="inlineStr">
        <is>
          <t>juros_encarg_add</t>
        </is>
      </c>
      <c r="C71" s="75" t="n">
        <v>435.92</v>
      </c>
      <c r="D71" s="75" t="n">
        <v>0</v>
      </c>
      <c r="E71" s="75" t="n">
        <v>-96285.28999999999</v>
      </c>
      <c r="F71" s="77" t="n"/>
      <c r="G71" s="78" t="n">
        <v>30</v>
      </c>
      <c r="H71" s="78" t="n">
        <v>30</v>
      </c>
      <c r="I71" s="79" t="n">
        <v>-2888558.7</v>
      </c>
      <c r="J71" s="79" t="n">
        <v>-2888558.7</v>
      </c>
      <c r="K71" s="80" t="n">
        <v>95646.99548387097</v>
      </c>
      <c r="L71" s="80" t="n">
        <v>435.92</v>
      </c>
      <c r="M71" s="81" t="n">
        <v>0.004557592194033067</v>
      </c>
      <c r="N71" s="90" t="n">
        <v>0.05499925228922997</v>
      </c>
      <c r="O71" s="82" t="inlineStr">
        <is>
          <t>juros_encarg_add</t>
        </is>
      </c>
      <c r="P71" s="88" t="n">
        <v>0</v>
      </c>
      <c r="Q71" s="83" t="n">
        <v>435.92</v>
      </c>
      <c r="R71" s="91" t="n">
        <v>-84156.84000000001</v>
      </c>
      <c r="S71" s="84" t="n">
        <v>-2888558.7</v>
      </c>
      <c r="T71" s="89" t="n">
        <v>-2888558.7</v>
      </c>
      <c r="U71" s="91" t="n">
        <v>95646.99548387097</v>
      </c>
      <c r="V71" s="91" t="n">
        <v>-396.3677039362893</v>
      </c>
      <c r="W71" s="75" t="n"/>
    </row>
    <row r="72">
      <c r="A72" s="142" t="inlineStr">
        <is>
          <t>01/10/2019</t>
        </is>
      </c>
      <c r="B72" s="74" t="inlineStr">
        <is>
          <t>juros_encarg_add</t>
        </is>
      </c>
      <c r="C72" s="75" t="n">
        <v>424.65</v>
      </c>
      <c r="D72" s="75" t="n">
        <v>0</v>
      </c>
      <c r="E72" s="75" t="n">
        <v>-96709.94</v>
      </c>
      <c r="F72" s="77" t="n"/>
      <c r="G72" s="78" t="n">
        <v>31</v>
      </c>
      <c r="H72" s="78" t="n">
        <v>31</v>
      </c>
      <c r="I72" s="79" t="n">
        <v>-2998008.14</v>
      </c>
      <c r="J72" s="79" t="n">
        <v>-2998008.14</v>
      </c>
      <c r="K72" s="80" t="n">
        <v>96285.28999999999</v>
      </c>
      <c r="L72" s="80" t="n">
        <v>424.65</v>
      </c>
      <c r="M72" s="81" t="n">
        <v>0.004410331006948098</v>
      </c>
      <c r="N72" s="90" t="n">
        <v>0.05500029545087037</v>
      </c>
      <c r="O72" s="82" t="inlineStr">
        <is>
          <t>juros_encarg_add</t>
        </is>
      </c>
      <c r="P72" s="88" t="n">
        <v>0</v>
      </c>
      <c r="Q72" s="83" t="n">
        <v>424.65</v>
      </c>
      <c r="R72" s="91" t="n">
        <v>-84156.84000000001</v>
      </c>
      <c r="S72" s="84" t="n">
        <v>-2998008.14</v>
      </c>
      <c r="T72" s="89" t="n">
        <v>-2998008.14</v>
      </c>
      <c r="U72" s="91" t="n">
        <v>96285.28999999999</v>
      </c>
      <c r="V72" s="91" t="n">
        <v>-371.15952089877</v>
      </c>
      <c r="W72" s="75" t="n"/>
    </row>
    <row r="73">
      <c r="A73" s="142" t="inlineStr">
        <is>
          <t>01/11/2019</t>
        </is>
      </c>
      <c r="B73" s="74" t="inlineStr">
        <is>
          <t>juros_encarg_add</t>
        </is>
      </c>
      <c r="C73" s="75" t="n">
        <v>440.77</v>
      </c>
      <c r="D73" s="75" t="n">
        <v>0</v>
      </c>
      <c r="E73" s="75" t="n">
        <v>-97150.71000000001</v>
      </c>
      <c r="F73" s="77" t="n"/>
      <c r="G73" s="78" t="n">
        <v>30</v>
      </c>
      <c r="H73" s="78" t="n">
        <v>30</v>
      </c>
      <c r="I73" s="79" t="n">
        <v>-2914521.3</v>
      </c>
      <c r="J73" s="79" t="n">
        <v>-2914521.3</v>
      </c>
      <c r="K73" s="80" t="n">
        <v>96709.94</v>
      </c>
      <c r="L73" s="80" t="n">
        <v>440.77</v>
      </c>
      <c r="M73" s="81" t="n">
        <v>0.004557649399844488</v>
      </c>
      <c r="N73" s="90" t="n">
        <v>0.05499995966269666</v>
      </c>
      <c r="O73" s="82" t="inlineStr">
        <is>
          <t>juros_encarg_add</t>
        </is>
      </c>
      <c r="P73" s="88" t="n">
        <v>0</v>
      </c>
      <c r="Q73" s="83" t="n">
        <v>440.77</v>
      </c>
      <c r="R73" s="91" t="n">
        <v>-84156.84000000001</v>
      </c>
      <c r="S73" s="84" t="n">
        <v>-2914521.3</v>
      </c>
      <c r="T73" s="89" t="n">
        <v>-2914521.3</v>
      </c>
      <c r="U73" s="91" t="n">
        <v>96709.94</v>
      </c>
      <c r="V73" s="91" t="n">
        <v>-396.3726794260544</v>
      </c>
      <c r="W73" s="75" t="n"/>
    </row>
    <row r="74">
      <c r="A74" s="142" t="inlineStr">
        <is>
          <t>01/12/2019</t>
        </is>
      </c>
      <c r="B74" s="74" t="inlineStr">
        <is>
          <t>juros_encarg_add</t>
        </is>
      </c>
      <c r="C74" s="75" t="n">
        <v>428.46</v>
      </c>
      <c r="D74" s="75" t="n">
        <v>0</v>
      </c>
      <c r="E74" s="75" t="n">
        <v>-97579.17</v>
      </c>
      <c r="F74" s="77" t="n"/>
      <c r="G74" s="78" t="n">
        <v>31</v>
      </c>
      <c r="H74" s="78" t="n">
        <v>31</v>
      </c>
      <c r="I74" s="79" t="n">
        <v>-3024954.27</v>
      </c>
      <c r="J74" s="79" t="n">
        <v>-3024954.27</v>
      </c>
      <c r="K74" s="80" t="n">
        <v>97150.71000000001</v>
      </c>
      <c r="L74" s="80" t="n">
        <v>428.46</v>
      </c>
      <c r="M74" s="81" t="n">
        <v>0.00441026112933196</v>
      </c>
      <c r="N74" s="90" t="n">
        <v>0.054999402451954</v>
      </c>
      <c r="O74" s="82" t="inlineStr">
        <is>
          <t>juros_encarg_add</t>
        </is>
      </c>
      <c r="P74" s="88" t="n">
        <v>0</v>
      </c>
      <c r="Q74" s="83" t="n">
        <v>428.46</v>
      </c>
      <c r="R74" s="91" t="n">
        <v>-84156.84000000001</v>
      </c>
      <c r="S74" s="84" t="n">
        <v>-3024954.27</v>
      </c>
      <c r="T74" s="89" t="n">
        <v>-3024954.27</v>
      </c>
      <c r="U74" s="91" t="n">
        <v>97150.71000000001</v>
      </c>
      <c r="V74" s="91" t="n">
        <v>-371.1536402194092</v>
      </c>
      <c r="W74" s="75" t="n"/>
    </row>
    <row r="75">
      <c r="A75" s="142" t="inlineStr">
        <is>
          <t>01/01/2020</t>
        </is>
      </c>
      <c r="B75" s="74" t="inlineStr">
        <is>
          <t>juros_encarg_add</t>
        </is>
      </c>
      <c r="C75" s="75" t="n">
        <v>444.73</v>
      </c>
      <c r="D75" s="75" t="n">
        <v>0</v>
      </c>
      <c r="E75" s="75" t="n">
        <v>-98023.89999999999</v>
      </c>
      <c r="F75" s="77" t="n"/>
      <c r="G75" s="78" t="n">
        <v>31</v>
      </c>
      <c r="H75" s="78" t="n">
        <v>31</v>
      </c>
      <c r="I75" s="79" t="n">
        <v>-3038740.9</v>
      </c>
      <c r="J75" s="79" t="n">
        <v>-3038740.9</v>
      </c>
      <c r="K75" s="80" t="n">
        <v>97579.17</v>
      </c>
      <c r="L75" s="80" t="n">
        <v>444.73</v>
      </c>
      <c r="M75" s="81" t="n">
        <v>0.004557632535714395</v>
      </c>
      <c r="N75" s="90" t="n">
        <v>0.05515451658257575</v>
      </c>
      <c r="O75" s="82" t="inlineStr">
        <is>
          <t>juros_encarg_add</t>
        </is>
      </c>
      <c r="P75" s="88" t="n">
        <v>0</v>
      </c>
      <c r="Q75" s="83" t="n">
        <v>444.73</v>
      </c>
      <c r="R75" s="91" t="n">
        <v>-84156.84000000001</v>
      </c>
      <c r="S75" s="84" t="n">
        <v>-3038740.9</v>
      </c>
      <c r="T75" s="89" t="n">
        <v>-3038740.9</v>
      </c>
      <c r="U75" s="91" t="n">
        <v>97579.17</v>
      </c>
      <c r="V75" s="91" t="n">
        <v>-396.3712126641124</v>
      </c>
      <c r="W75" s="75" t="n"/>
    </row>
    <row r="76">
      <c r="A76" s="142" t="inlineStr">
        <is>
          <t>01/02/2020</t>
        </is>
      </c>
      <c r="B76" s="74" t="inlineStr">
        <is>
          <t>juros_encarg_add</t>
        </is>
      </c>
      <c r="C76" s="75" t="n">
        <v>445.54</v>
      </c>
      <c r="D76" s="75" t="n">
        <v>0</v>
      </c>
      <c r="E76" s="75" t="n">
        <v>-98469.44</v>
      </c>
      <c r="F76" s="77" t="n"/>
      <c r="G76" s="78" t="n">
        <v>29</v>
      </c>
      <c r="H76" s="78" t="n">
        <v>29</v>
      </c>
      <c r="I76" s="79" t="n">
        <v>-2855613.76</v>
      </c>
      <c r="J76" s="79" t="n">
        <v>-2855613.76</v>
      </c>
      <c r="K76" s="80" t="n">
        <v>98023.89999999999</v>
      </c>
      <c r="L76" s="80" t="n">
        <v>445.54</v>
      </c>
      <c r="M76" s="81" t="n">
        <v>0.004545218053964462</v>
      </c>
      <c r="N76" s="90" t="n">
        <v>0.05500057349558163</v>
      </c>
      <c r="O76" s="82" t="inlineStr">
        <is>
          <t>juros_encarg_add</t>
        </is>
      </c>
      <c r="P76" s="88" t="n">
        <v>0</v>
      </c>
      <c r="Q76" s="83" t="n">
        <v>445.54</v>
      </c>
      <c r="R76" s="91" t="n">
        <v>-84156.84000000001</v>
      </c>
      <c r="S76" s="84" t="n">
        <v>-2855613.76</v>
      </c>
      <c r="T76" s="89" t="n">
        <v>-2855613.76</v>
      </c>
      <c r="U76" s="91" t="n">
        <v>98023.89999999999</v>
      </c>
      <c r="V76" s="91" t="n">
        <v>-395.2914602282764</v>
      </c>
      <c r="W76" s="75" t="n"/>
    </row>
    <row r="77">
      <c r="A77" s="142" t="inlineStr">
        <is>
          <t>01/03/2020</t>
        </is>
      </c>
      <c r="B77" s="74" t="inlineStr">
        <is>
          <t>juros_encarg_add</t>
        </is>
      </c>
      <c r="C77" s="75" t="n">
        <v>418.62</v>
      </c>
      <c r="D77" s="75" t="n">
        <v>0</v>
      </c>
      <c r="E77" s="75" t="n">
        <v>-98888.06</v>
      </c>
      <c r="F77" s="77" t="n"/>
      <c r="G77" s="78" t="n">
        <v>31</v>
      </c>
      <c r="H77" s="78" t="n">
        <v>31</v>
      </c>
      <c r="I77" s="79" t="n">
        <v>-3065529.86</v>
      </c>
      <c r="J77" s="79" t="n">
        <v>-3065529.86</v>
      </c>
      <c r="K77" s="80" t="n">
        <v>98469.44</v>
      </c>
      <c r="L77" s="80" t="n">
        <v>418.62</v>
      </c>
      <c r="M77" s="81" t="n">
        <v>0.004251268210726078</v>
      </c>
      <c r="N77" s="90" t="n">
        <v>0.05499941275525555</v>
      </c>
      <c r="O77" s="82" t="inlineStr">
        <is>
          <t>juros_encarg_add</t>
        </is>
      </c>
      <c r="P77" s="88" t="n">
        <v>0</v>
      </c>
      <c r="Q77" s="83" t="n">
        <v>418.62</v>
      </c>
      <c r="R77" s="91" t="n">
        <v>-84156.84000000001</v>
      </c>
      <c r="S77" s="84" t="n">
        <v>-3065529.86</v>
      </c>
      <c r="T77" s="89" t="n">
        <v>-3065529.86</v>
      </c>
      <c r="U77" s="91" t="n">
        <v>98469.44</v>
      </c>
      <c r="V77" s="91" t="n">
        <v>-345.8230529497143</v>
      </c>
      <c r="W77" s="75" t="n"/>
    </row>
    <row r="78">
      <c r="A78" s="142" t="inlineStr">
        <is>
          <t>01/04/2020</t>
        </is>
      </c>
      <c r="B78" s="74" t="inlineStr">
        <is>
          <t>juros_encarg_add</t>
        </is>
      </c>
      <c r="C78" s="75" t="n">
        <v>449.46</v>
      </c>
      <c r="D78" s="75" t="n">
        <v>0</v>
      </c>
      <c r="E78" s="75" t="n">
        <v>-99337.52</v>
      </c>
      <c r="F78" s="77" t="n"/>
      <c r="G78" s="78" t="n">
        <v>30</v>
      </c>
      <c r="H78" s="78" t="n">
        <v>30</v>
      </c>
      <c r="I78" s="79" t="n">
        <v>-2980125.6</v>
      </c>
      <c r="J78" s="79" t="n">
        <v>-2980125.6</v>
      </c>
      <c r="K78" s="80" t="n">
        <v>98888.06</v>
      </c>
      <c r="L78" s="80" t="n">
        <v>449.46</v>
      </c>
      <c r="M78" s="81" t="n">
        <v>0.004545139221054484</v>
      </c>
      <c r="N78" s="90" t="n">
        <v>0.05499959601087667</v>
      </c>
      <c r="O78" s="82" t="inlineStr">
        <is>
          <t>juros_encarg_add</t>
        </is>
      </c>
      <c r="P78" s="88" t="n">
        <v>0</v>
      </c>
      <c r="Q78" s="83" t="n">
        <v>449.46</v>
      </c>
      <c r="R78" s="91" t="n">
        <v>-84156.84000000001</v>
      </c>
      <c r="S78" s="84" t="n">
        <v>-2980125.6</v>
      </c>
      <c r="T78" s="89" t="n">
        <v>-2980125.6</v>
      </c>
      <c r="U78" s="91" t="n">
        <v>98888.06</v>
      </c>
      <c r="V78" s="91" t="n">
        <v>-395.2846037190311</v>
      </c>
      <c r="W78" s="75" t="n"/>
    </row>
    <row r="79">
      <c r="A79" s="142" t="inlineStr">
        <is>
          <t>01/05/2020</t>
        </is>
      </c>
      <c r="B79" s="74" t="inlineStr">
        <is>
          <t>juros_encarg_add</t>
        </is>
      </c>
      <c r="C79" s="75" t="n">
        <v>436.91</v>
      </c>
      <c r="D79" s="75" t="n">
        <v>0</v>
      </c>
      <c r="E79" s="75" t="n">
        <v>-99774.42999999999</v>
      </c>
      <c r="F79" s="77" t="n"/>
      <c r="G79" s="78" t="n">
        <v>16</v>
      </c>
      <c r="H79" s="78" t="n">
        <v>16</v>
      </c>
      <c r="I79" s="79" t="n">
        <v>-1596390.88</v>
      </c>
      <c r="J79" s="79" t="n">
        <v>-1596390.88</v>
      </c>
      <c r="K79" s="80" t="n">
        <v>99337.52</v>
      </c>
      <c r="L79" s="80" t="n">
        <v>436.91</v>
      </c>
      <c r="M79" s="81" t="n">
        <v>0.004398237443415054</v>
      </c>
      <c r="N79" s="90" t="n">
        <v>0.05500007737178469</v>
      </c>
      <c r="O79" s="82" t="inlineStr">
        <is>
          <t>juros_encarg_add</t>
        </is>
      </c>
      <c r="P79" s="88" t="n">
        <v>0</v>
      </c>
      <c r="Q79" s="83" t="n">
        <v>436.91</v>
      </c>
      <c r="R79" s="91" t="n">
        <v>-84156.84000000001</v>
      </c>
      <c r="S79" s="84" t="n">
        <v>-1596390.88</v>
      </c>
      <c r="T79" s="89" t="n">
        <v>-1596390.88</v>
      </c>
      <c r="U79" s="91" t="n">
        <v>99337.52</v>
      </c>
      <c r="V79" s="91" t="n">
        <v>-370.1417648074898</v>
      </c>
      <c r="W79" s="75" t="n"/>
    </row>
    <row r="80">
      <c r="A80" s="142" t="inlineStr">
        <is>
          <t>17/05/2020</t>
        </is>
      </c>
      <c r="B80" s="74" t="inlineStr">
        <is>
          <t>juros_encarg_add</t>
        </is>
      </c>
      <c r="C80" s="75" t="n">
        <v>233.8</v>
      </c>
      <c r="D80" s="75" t="n">
        <v>0</v>
      </c>
      <c r="E80" s="75" t="n">
        <v>-100008.23</v>
      </c>
      <c r="F80" s="77" t="n"/>
      <c r="G80" s="78" t="n">
        <v>0</v>
      </c>
      <c r="H80" s="78" t="n">
        <v>0</v>
      </c>
      <c r="I80" s="79" t="n">
        <v>-0</v>
      </c>
      <c r="J80" s="79" t="n">
        <v>-0</v>
      </c>
      <c r="K80" s="80" t="n">
        <v>99774.42999999999</v>
      </c>
      <c r="L80" s="80" t="n">
        <v>233.8</v>
      </c>
      <c r="M80" s="81" t="n">
        <v>0.004545102829229819</v>
      </c>
      <c r="N80" s="90" t="n">
        <v>0.05499914477255552</v>
      </c>
      <c r="O80" s="82" t="inlineStr">
        <is>
          <t>juros_encarg_add</t>
        </is>
      </c>
      <c r="P80" s="88" t="n">
        <v>-13802.61077079124</v>
      </c>
      <c r="Q80" s="83" t="n">
        <v>233.8</v>
      </c>
      <c r="R80" s="91" t="n">
        <v>-70354.22922920878</v>
      </c>
      <c r="S80" s="84" t="n">
        <v>-0</v>
      </c>
      <c r="T80" s="89" t="n">
        <v>-0</v>
      </c>
      <c r="U80" s="91" t="n">
        <v>99774.42999999999</v>
      </c>
      <c r="V80" s="91" t="n">
        <v>-203.7849271649868</v>
      </c>
      <c r="W80" s="75" t="n"/>
    </row>
    <row r="81">
      <c r="A81" s="142" t="inlineStr">
        <is>
          <t>17/05/2020</t>
        </is>
      </c>
      <c r="B81" s="74" t="inlineStr">
        <is>
          <t>trans_saldo</t>
        </is>
      </c>
      <c r="C81" s="75" t="n">
        <v>0</v>
      </c>
      <c r="D81" s="75" t="n">
        <v>100008.23</v>
      </c>
      <c r="E81" s="75" t="n">
        <v>0</v>
      </c>
      <c r="F81" s="77" t="n"/>
      <c r="G81" s="78" t="n">
        <v>0</v>
      </c>
      <c r="H81" s="78" t="n">
        <v>0</v>
      </c>
      <c r="I81" s="79" t="n">
        <v>0</v>
      </c>
      <c r="J81" s="79" t="n">
        <v>0</v>
      </c>
      <c r="K81" s="80" t="n">
        <v>0</v>
      </c>
      <c r="L81" s="80" t="n">
        <v>0</v>
      </c>
      <c r="M81" s="81" t="n">
        <v>0</v>
      </c>
      <c r="N81" s="90" t="n">
        <v>0</v>
      </c>
      <c r="O81" s="82" t="inlineStr">
        <is>
          <t>trans_saldo</t>
        </is>
      </c>
      <c r="P81" s="88" t="n">
        <v>0</v>
      </c>
      <c r="Q81" s="83" t="n">
        <v>0</v>
      </c>
      <c r="R81" s="91" t="n">
        <v>29654.00077079122</v>
      </c>
      <c r="S81" s="84" t="n">
        <v>0</v>
      </c>
      <c r="T81" s="89" t="n">
        <v>0</v>
      </c>
      <c r="U81" s="91" t="n">
        <v>0</v>
      </c>
      <c r="V81" s="91" t="n">
        <v/>
      </c>
      <c r="W81" s="75" t="n"/>
    </row>
    <row r="82">
      <c r="A82" s="142" t="inlineStr">
        <is>
          <t>17/05/2020</t>
        </is>
      </c>
      <c r="B82" s="74" t="inlineStr">
        <is>
          <t>trans_saldo</t>
        </is>
      </c>
      <c r="C82" s="75" t="n">
        <v>100008.23</v>
      </c>
      <c r="D82" s="75" t="n">
        <v>0</v>
      </c>
      <c r="E82" s="75" t="n">
        <v>-100008.23</v>
      </c>
      <c r="F82" s="77" t="n"/>
      <c r="G82" s="78" t="n">
        <v>15</v>
      </c>
      <c r="H82" s="78" t="n">
        <v>15</v>
      </c>
      <c r="I82" s="79" t="n">
        <v>-1500123.45</v>
      </c>
      <c r="J82" s="79" t="n">
        <v>-1500123.45</v>
      </c>
      <c r="K82" s="80" t="n">
        <v>0</v>
      </c>
      <c r="L82" s="80" t="n">
        <v>0</v>
      </c>
      <c r="M82" s="81" t="n">
        <v>0</v>
      </c>
      <c r="N82" s="90" t="n">
        <v>0</v>
      </c>
      <c r="O82" s="82" t="inlineStr">
        <is>
          <t>trans_saldo</t>
        </is>
      </c>
      <c r="P82" s="88" t="n">
        <v>0</v>
      </c>
      <c r="Q82" s="83" t="n">
        <v>0</v>
      </c>
      <c r="R82" s="91" t="n">
        <v>-70354.22922920878</v>
      </c>
      <c r="S82" s="84" t="n">
        <v>-1500123.45</v>
      </c>
      <c r="T82" s="89" t="n">
        <v>-1500123.45</v>
      </c>
      <c r="U82" s="91" t="n">
        <v>0</v>
      </c>
      <c r="V82" s="91" t="n">
        <v/>
      </c>
      <c r="W82" s="75" t="n"/>
    </row>
    <row r="83">
      <c r="A83" s="142" t="inlineStr">
        <is>
          <t>01/06/2020</t>
        </is>
      </c>
      <c r="B83" s="74" t="inlineStr">
        <is>
          <t>juros_encarg_add</t>
        </is>
      </c>
      <c r="C83" s="75" t="n">
        <v>219.69</v>
      </c>
      <c r="D83" s="75" t="n">
        <v>0</v>
      </c>
      <c r="E83" s="75" t="n">
        <v>-100227.92</v>
      </c>
      <c r="F83" s="77" t="n"/>
      <c r="G83" s="78" t="n">
        <v>30</v>
      </c>
      <c r="H83" s="78" t="n">
        <v>30</v>
      </c>
      <c r="I83" s="79" t="n">
        <v>-3006837.6</v>
      </c>
      <c r="J83" s="79" t="n">
        <v>-3006837.6</v>
      </c>
      <c r="K83" s="80" t="n">
        <v>100008.23</v>
      </c>
      <c r="L83" s="80" t="n">
        <v>219.69</v>
      </c>
      <c r="M83" s="81" t="n">
        <v>0.004545205483181158</v>
      </c>
      <c r="N83" s="90" t="n">
        <v>0.05500041762472985</v>
      </c>
      <c r="O83" s="82" t="inlineStr">
        <is>
          <t>juros_encarg_add</t>
        </is>
      </c>
      <c r="P83" s="88" t="n">
        <v>0</v>
      </c>
      <c r="Q83" s="83" t="n">
        <v>219.69</v>
      </c>
      <c r="R83" s="91" t="n">
        <v>-70354.22922920878</v>
      </c>
      <c r="S83" s="84" t="n">
        <v>-3006837.6</v>
      </c>
      <c r="T83" s="89" t="n">
        <v>-3006837.6</v>
      </c>
      <c r="U83" s="91" t="n">
        <v>100008.23</v>
      </c>
      <c r="V83" s="91" t="n">
        <v/>
      </c>
      <c r="W83" s="75" t="n"/>
    </row>
    <row r="84">
      <c r="A84" s="142" t="inlineStr">
        <is>
          <t>01/07/2020</t>
        </is>
      </c>
      <c r="B84" s="74" t="inlineStr">
        <is>
          <t>juros_encarg_add</t>
        </is>
      </c>
      <c r="C84" s="75" t="n">
        <v>440.83</v>
      </c>
      <c r="D84" s="75" t="n">
        <v>0</v>
      </c>
      <c r="E84" s="75" t="n">
        <v>-100668.75</v>
      </c>
      <c r="F84" s="77" t="n"/>
      <c r="G84" s="78" t="n">
        <v>31</v>
      </c>
      <c r="H84" s="78" t="n">
        <v>31</v>
      </c>
      <c r="I84" s="79" t="n">
        <v>-3120731.25</v>
      </c>
      <c r="J84" s="79" t="n">
        <v>-3120731.25</v>
      </c>
      <c r="K84" s="80" t="n">
        <v>100227.92</v>
      </c>
      <c r="L84" s="80" t="n">
        <v>440.83</v>
      </c>
      <c r="M84" s="81" t="n">
        <v>0.004398275450592903</v>
      </c>
      <c r="N84" s="90" t="n">
        <v>0.05500056442015611</v>
      </c>
      <c r="O84" s="82" t="inlineStr">
        <is>
          <t>juros_encarg_add</t>
        </is>
      </c>
      <c r="P84" s="88" t="n">
        <v>0</v>
      </c>
      <c r="Q84" s="83" t="n">
        <v>440.83</v>
      </c>
      <c r="R84" s="91" t="n">
        <v>-70354.22922920878</v>
      </c>
      <c r="S84" s="84" t="n">
        <v>-3120731.25</v>
      </c>
      <c r="T84" s="89" t="n">
        <v>-3120731.25</v>
      </c>
      <c r="U84" s="91" t="n">
        <v>100227.92</v>
      </c>
      <c r="V84" s="91" t="n">
        <v/>
      </c>
      <c r="W84" s="75" t="n"/>
    </row>
    <row r="85">
      <c r="A85" s="142" t="inlineStr">
        <is>
          <t>01/08/2020</t>
        </is>
      </c>
      <c r="B85" s="74" t="inlineStr">
        <is>
          <t>juros_encarg_add</t>
        </is>
      </c>
      <c r="C85" s="75" t="n">
        <v>457.56</v>
      </c>
      <c r="D85" s="75" t="n">
        <v>0</v>
      </c>
      <c r="E85" s="75" t="n">
        <v>-101126.31</v>
      </c>
      <c r="F85" s="77" t="n"/>
      <c r="G85" s="78" t="n">
        <v>17</v>
      </c>
      <c r="H85" s="78" t="n">
        <v>17</v>
      </c>
      <c r="I85" s="79" t="n">
        <v>-1719147.27</v>
      </c>
      <c r="J85" s="79" t="n">
        <v>-1719147.27</v>
      </c>
      <c r="K85" s="80" t="n">
        <v>100668.75</v>
      </c>
      <c r="L85" s="80" t="n">
        <v>457.56</v>
      </c>
      <c r="M85" s="81" t="n">
        <v>0.004545203948593812</v>
      </c>
      <c r="N85" s="90" t="n">
        <v>0.05500039859668648</v>
      </c>
      <c r="O85" s="82" t="inlineStr">
        <is>
          <t>juros_encarg_add</t>
        </is>
      </c>
      <c r="P85" s="88" t="n">
        <v>0</v>
      </c>
      <c r="Q85" s="83" t="n">
        <v>457.56</v>
      </c>
      <c r="R85" s="91" t="n">
        <v>-70354.22922920878</v>
      </c>
      <c r="S85" s="84" t="n">
        <v>-1719147.27</v>
      </c>
      <c r="T85" s="89" t="n">
        <v>-1719147.27</v>
      </c>
      <c r="U85" s="91" t="n">
        <v>100668.75</v>
      </c>
      <c r="V85" s="91" t="n">
        <v/>
      </c>
      <c r="W85" s="75" t="n"/>
    </row>
    <row r="86">
      <c r="A86" s="142" t="inlineStr">
        <is>
          <t>18/08/2020</t>
        </is>
      </c>
      <c r="B86" s="74" t="inlineStr">
        <is>
          <t>seguro_penhor</t>
        </is>
      </c>
      <c r="C86" s="75" t="n">
        <v>255.9</v>
      </c>
      <c r="D86" s="75" t="n">
        <v>0</v>
      </c>
      <c r="E86" s="75" t="n">
        <v>-101382.21</v>
      </c>
      <c r="F86" s="77" t="n"/>
      <c r="G86" s="78" t="n">
        <v>0</v>
      </c>
      <c r="H86" s="78" t="n">
        <v>17</v>
      </c>
      <c r="I86" s="79" t="n">
        <v>-0</v>
      </c>
      <c r="J86" s="79" t="n">
        <v>-1719147.27</v>
      </c>
      <c r="K86" s="80" t="n">
        <v>0</v>
      </c>
      <c r="L86" s="80" t="n">
        <v>0</v>
      </c>
      <c r="M86" s="81" t="n">
        <v>0</v>
      </c>
      <c r="N86" s="90" t="n">
        <v>0</v>
      </c>
      <c r="O86" s="82" t="inlineStr">
        <is>
          <t>seguro_penhor</t>
        </is>
      </c>
      <c r="P86" s="88" t="n">
        <v>0</v>
      </c>
      <c r="Q86" s="83" t="n">
        <v>255.9</v>
      </c>
      <c r="R86" s="91" t="n">
        <v>-70354.22922920878</v>
      </c>
      <c r="S86" s="84" t="n">
        <v>-0</v>
      </c>
      <c r="T86" s="89" t="n">
        <v>-1719147.27</v>
      </c>
      <c r="U86" s="91" t="n">
        <v>0</v>
      </c>
      <c r="V86" s="91" t="n">
        <v/>
      </c>
      <c r="W86" s="75" t="n"/>
    </row>
    <row r="87">
      <c r="A87" s="142" t="inlineStr">
        <is>
          <t>18/08/2020</t>
        </is>
      </c>
      <c r="B87" s="74" t="inlineStr">
        <is>
          <t>seguro_penhor</t>
        </is>
      </c>
      <c r="C87" s="75" t="n">
        <v>74.29000000000001</v>
      </c>
      <c r="D87" s="75" t="n">
        <v>0</v>
      </c>
      <c r="E87" s="75" t="n">
        <v>-101456.5</v>
      </c>
      <c r="F87" s="77" t="n"/>
      <c r="G87" s="78" t="n">
        <v>14</v>
      </c>
      <c r="H87" s="78" t="n">
        <v>31</v>
      </c>
      <c r="I87" s="79" t="n">
        <v>-1420391</v>
      </c>
      <c r="J87" s="79" t="n">
        <v>-3139538.27</v>
      </c>
      <c r="K87" s="80" t="n">
        <v>0</v>
      </c>
      <c r="L87" s="80" t="n">
        <v>0</v>
      </c>
      <c r="M87" s="81" t="n">
        <v>0</v>
      </c>
      <c r="N87" s="90" t="n">
        <v>0</v>
      </c>
      <c r="O87" s="82" t="inlineStr">
        <is>
          <t>seguro_penhor</t>
        </is>
      </c>
      <c r="P87" s="88" t="n">
        <v>0</v>
      </c>
      <c r="Q87" s="83" t="n">
        <v>74.29000000000001</v>
      </c>
      <c r="R87" s="91" t="n">
        <v>-70354.22922920878</v>
      </c>
      <c r="S87" s="84" t="n">
        <v>-1420391</v>
      </c>
      <c r="T87" s="89" t="n">
        <v>-3139538.27</v>
      </c>
      <c r="U87" s="91" t="n">
        <v>0</v>
      </c>
      <c r="V87" s="91" t="n">
        <v/>
      </c>
      <c r="W87" s="75" t="n"/>
    </row>
    <row r="88">
      <c r="A88" s="142" t="inlineStr">
        <is>
          <t>01/09/2020</t>
        </is>
      </c>
      <c r="B88" s="74" t="inlineStr">
        <is>
          <t>juros_encarg_add</t>
        </is>
      </c>
      <c r="C88" s="75" t="n">
        <v>460.31</v>
      </c>
      <c r="D88" s="75" t="n">
        <v>0</v>
      </c>
      <c r="E88" s="75" t="n">
        <v>-101916.81</v>
      </c>
      <c r="F88" s="77" t="n"/>
      <c r="G88" s="78" t="n">
        <v>30</v>
      </c>
      <c r="H88" s="78" t="n">
        <v>30</v>
      </c>
      <c r="I88" s="79" t="n">
        <v>-3057504.3</v>
      </c>
      <c r="J88" s="79" t="n">
        <v>-3057504.3</v>
      </c>
      <c r="K88" s="80" t="n">
        <v>101275.4280645161</v>
      </c>
      <c r="L88" s="80" t="n">
        <v>460.31</v>
      </c>
      <c r="M88" s="81" t="n">
        <v>0.004545130134693265</v>
      </c>
      <c r="N88" s="90" t="n">
        <v>0.05499948334505067</v>
      </c>
      <c r="O88" s="82" t="inlineStr">
        <is>
          <t>juros_encarg_add</t>
        </is>
      </c>
      <c r="P88" s="88" t="n">
        <v>0</v>
      </c>
      <c r="Q88" s="83" t="n">
        <v>460.31</v>
      </c>
      <c r="R88" s="91" t="n">
        <v>-70354.22922920878</v>
      </c>
      <c r="S88" s="84" t="n">
        <v>-3057504.3</v>
      </c>
      <c r="T88" s="89" t="n">
        <v>-3057504.3</v>
      </c>
      <c r="U88" s="91" t="n">
        <v>101275.4280645161</v>
      </c>
      <c r="V88" s="91" t="n">
        <v/>
      </c>
      <c r="W88" s="75" t="n"/>
    </row>
    <row r="89">
      <c r="A89" s="142" t="inlineStr">
        <is>
          <t>01/10/2020</t>
        </is>
      </c>
      <c r="B89" s="74" t="inlineStr">
        <is>
          <t>juros_encarg_add</t>
        </is>
      </c>
      <c r="C89" s="75" t="n">
        <v>448.25</v>
      </c>
      <c r="D89" s="75" t="n">
        <v>0</v>
      </c>
      <c r="E89" s="75" t="n">
        <v>-102365.06</v>
      </c>
      <c r="F89" s="77" t="n"/>
      <c r="G89" s="78" t="n">
        <v>31</v>
      </c>
      <c r="H89" s="78" t="n">
        <v>31</v>
      </c>
      <c r="I89" s="79" t="n">
        <v>-3173316.86</v>
      </c>
      <c r="J89" s="79" t="n">
        <v>-3173316.86</v>
      </c>
      <c r="K89" s="80" t="n">
        <v>101916.81</v>
      </c>
      <c r="L89" s="80" t="n">
        <v>448.25</v>
      </c>
      <c r="M89" s="81" t="n">
        <v>0.004398194959202462</v>
      </c>
      <c r="N89" s="90" t="n">
        <v>0.05499953295206117</v>
      </c>
      <c r="O89" s="82" t="inlineStr">
        <is>
          <t>juros_encarg_add</t>
        </is>
      </c>
      <c r="P89" s="88" t="n">
        <v>0</v>
      </c>
      <c r="Q89" s="83" t="n">
        <v>448.25</v>
      </c>
      <c r="R89" s="91" t="n">
        <v>-70354.22922920878</v>
      </c>
      <c r="S89" s="84" t="n">
        <v>-3173316.86</v>
      </c>
      <c r="T89" s="89" t="n">
        <v>-3173316.86</v>
      </c>
      <c r="U89" s="91" t="n">
        <v>101916.81</v>
      </c>
      <c r="V89" s="91" t="n">
        <v/>
      </c>
      <c r="W89" s="75" t="n"/>
    </row>
    <row r="90">
      <c r="A90" s="142" t="inlineStr">
        <is>
          <t>01/11/2020</t>
        </is>
      </c>
      <c r="B90" s="74" t="inlineStr">
        <is>
          <t>juros_encarg_add</t>
        </is>
      </c>
      <c r="C90" s="75" t="n">
        <v>465.27</v>
      </c>
      <c r="D90" s="75" t="n">
        <v>0</v>
      </c>
      <c r="E90" s="75" t="n">
        <v>-102830.33</v>
      </c>
      <c r="F90" s="77" t="n"/>
      <c r="G90" s="78" t="n">
        <v>30</v>
      </c>
      <c r="H90" s="78" t="n">
        <v>30</v>
      </c>
      <c r="I90" s="79" t="n">
        <v>-3084909.9</v>
      </c>
      <c r="J90" s="79" t="n">
        <v>-3084909.9</v>
      </c>
      <c r="K90" s="80" t="n">
        <v>102365.06</v>
      </c>
      <c r="L90" s="80" t="n">
        <v>465.27</v>
      </c>
      <c r="M90" s="81" t="n">
        <v>0.004545203216800742</v>
      </c>
      <c r="N90" s="90" t="n">
        <v>0.05500038952285258</v>
      </c>
      <c r="O90" s="82" t="inlineStr">
        <is>
          <t>juros_encarg_add</t>
        </is>
      </c>
      <c r="P90" s="88" t="n">
        <v>0</v>
      </c>
      <c r="Q90" s="83" t="n">
        <v>465.27</v>
      </c>
      <c r="R90" s="91" t="n">
        <v>-70354.22922920878</v>
      </c>
      <c r="S90" s="84" t="n">
        <v>-3084909.9</v>
      </c>
      <c r="T90" s="89" t="n">
        <v>-3084909.9</v>
      </c>
      <c r="U90" s="91" t="n">
        <v>102365.06</v>
      </c>
      <c r="V90" s="91" t="n">
        <v/>
      </c>
      <c r="W90" s="75" t="n"/>
    </row>
    <row r="91">
      <c r="A91" s="142" t="inlineStr">
        <is>
          <t>01/12/2020</t>
        </is>
      </c>
      <c r="B91" s="74" t="inlineStr">
        <is>
          <t>juros_encarg_add</t>
        </is>
      </c>
      <c r="C91" s="75" t="n">
        <v>452.27</v>
      </c>
      <c r="D91" s="75" t="n">
        <v>0</v>
      </c>
      <c r="E91" s="75" t="n">
        <v>-103282.6</v>
      </c>
      <c r="F91" s="77" t="n"/>
      <c r="G91" s="78" t="n">
        <v>31</v>
      </c>
      <c r="H91" s="78" t="n">
        <v>31</v>
      </c>
      <c r="I91" s="79" t="n">
        <v>-3201760.6</v>
      </c>
      <c r="J91" s="79" t="n">
        <v>-3201760.6</v>
      </c>
      <c r="K91" s="80" t="n">
        <v>102830.33</v>
      </c>
      <c r="L91" s="80" t="n">
        <v>452.27</v>
      </c>
      <c r="M91" s="81" t="n">
        <v>0.004398215973828057</v>
      </c>
      <c r="N91" s="90" t="n">
        <v>0.05499980224680834</v>
      </c>
      <c r="O91" s="82" t="inlineStr">
        <is>
          <t>juros_encarg_add</t>
        </is>
      </c>
      <c r="P91" s="88" t="n">
        <v>0</v>
      </c>
      <c r="Q91" s="83" t="n">
        <v>452.27</v>
      </c>
      <c r="R91" s="91" t="n">
        <v>-70354.22922920878</v>
      </c>
      <c r="S91" s="84" t="n">
        <v>-3201760.6</v>
      </c>
      <c r="T91" s="89" t="n">
        <v>-3201760.6</v>
      </c>
      <c r="U91" s="91" t="n">
        <v>102830.33</v>
      </c>
      <c r="V91" s="91" t="n">
        <v/>
      </c>
      <c r="W91" s="75" t="n"/>
    </row>
    <row r="92">
      <c r="A92" s="142" t="inlineStr">
        <is>
          <t>01/01/2021</t>
        </is>
      </c>
      <c r="B92" s="74" t="inlineStr">
        <is>
          <t>juros_encarg_add</t>
        </is>
      </c>
      <c r="C92" s="75" t="n">
        <v>469.44</v>
      </c>
      <c r="D92" s="75" t="n">
        <v>0</v>
      </c>
      <c r="E92" s="75" t="n">
        <v>-103752.04</v>
      </c>
      <c r="F92" s="77" t="n"/>
      <c r="G92" s="78" t="n">
        <v>31</v>
      </c>
      <c r="H92" s="78" t="n">
        <v>31</v>
      </c>
      <c r="I92" s="79" t="n">
        <v>-3216313.24</v>
      </c>
      <c r="J92" s="79" t="n">
        <v>-3216313.24</v>
      </c>
      <c r="K92" s="80" t="n">
        <v>103282.6</v>
      </c>
      <c r="L92" s="80" t="n">
        <v>469.44</v>
      </c>
      <c r="M92" s="81" t="n">
        <v>0.004545199288166657</v>
      </c>
      <c r="N92" s="90" t="n">
        <v>0.05484601912472131</v>
      </c>
      <c r="O92" s="82" t="inlineStr">
        <is>
          <t>juros_encarg_add</t>
        </is>
      </c>
      <c r="P92" s="88" t="n">
        <v>0</v>
      </c>
      <c r="Q92" s="83" t="n">
        <v>469.44</v>
      </c>
      <c r="R92" s="91" t="n">
        <v>-70354.22922920878</v>
      </c>
      <c r="S92" s="84" t="n">
        <v>-3216313.24</v>
      </c>
      <c r="T92" s="89" t="n">
        <v>-3216313.24</v>
      </c>
      <c r="U92" s="91" t="n">
        <v>103282.6</v>
      </c>
      <c r="V92" s="91" t="n">
        <v/>
      </c>
      <c r="W92" s="75" t="n"/>
    </row>
    <row r="93">
      <c r="A93" s="142" t="inlineStr">
        <is>
          <t>01/02/2021</t>
        </is>
      </c>
      <c r="B93" s="74" t="inlineStr">
        <is>
          <t>juros_encarg_add</t>
        </is>
      </c>
      <c r="C93" s="75" t="n">
        <v>472.87</v>
      </c>
      <c r="D93" s="75" t="n">
        <v>0</v>
      </c>
      <c r="E93" s="75" t="n">
        <v>-104224.91</v>
      </c>
      <c r="F93" s="77" t="n"/>
      <c r="G93" s="78" t="n">
        <v>3</v>
      </c>
      <c r="H93" s="78" t="n">
        <v>3</v>
      </c>
      <c r="I93" s="79" t="n">
        <v>-312674.73</v>
      </c>
      <c r="J93" s="79" t="n">
        <v>-312674.73</v>
      </c>
      <c r="K93" s="80" t="n">
        <v>103752.04</v>
      </c>
      <c r="L93" s="80" t="n">
        <v>472.87</v>
      </c>
      <c r="M93" s="81" t="n">
        <v>0.00455769351619506</v>
      </c>
      <c r="N93" s="90" t="n">
        <v>0.05500050517987431</v>
      </c>
      <c r="O93" s="82" t="inlineStr">
        <is>
          <t>juros_encarg_add</t>
        </is>
      </c>
      <c r="P93" s="88" t="n">
        <v>0</v>
      </c>
      <c r="Q93" s="83" t="n">
        <v>472.87</v>
      </c>
      <c r="R93" s="91" t="n">
        <v>-70354.22922920878</v>
      </c>
      <c r="S93" s="84" t="n">
        <v>-312674.73</v>
      </c>
      <c r="T93" s="89" t="n">
        <v>-312674.73</v>
      </c>
      <c r="U93" s="91" t="n">
        <v>103752.04</v>
      </c>
      <c r="V93" s="91" t="n">
        <v/>
      </c>
      <c r="W93" s="75" t="n"/>
    </row>
    <row r="94">
      <c r="A94" s="142" t="inlineStr">
        <is>
          <t>04/02/2021</t>
        </is>
      </c>
      <c r="B94" s="74" t="inlineStr">
        <is>
          <t>juros_mora</t>
        </is>
      </c>
      <c r="C94" s="75" t="n">
        <v>730.62</v>
      </c>
      <c r="D94" s="75" t="n">
        <v>0</v>
      </c>
      <c r="E94" s="75" t="n">
        <v>-104955.53</v>
      </c>
      <c r="F94" s="77" t="n"/>
      <c r="G94" s="78" t="n">
        <v>0</v>
      </c>
      <c r="H94" s="78" t="n">
        <v>3</v>
      </c>
      <c r="I94" s="79" t="n">
        <v>-0</v>
      </c>
      <c r="J94" s="79" t="n">
        <v>-312674.73</v>
      </c>
      <c r="K94" s="80" t="n">
        <v>104224.91</v>
      </c>
      <c r="L94" s="80" t="n">
        <v>730.62</v>
      </c>
      <c r="M94" s="81" t="n">
        <v>0.0008333382603676356</v>
      </c>
      <c r="N94" s="90" t="n">
        <v>0.01019037987659588</v>
      </c>
      <c r="O94" s="82" t="inlineStr">
        <is>
          <t>juros_mora</t>
        </is>
      </c>
      <c r="P94" s="88" t="n">
        <v>0</v>
      </c>
      <c r="Q94" s="83" t="n">
        <v>730.62</v>
      </c>
      <c r="R94" s="91" t="n">
        <v>-70354.22922920878</v>
      </c>
      <c r="S94" s="84" t="n">
        <v>-0</v>
      </c>
      <c r="T94" s="89" t="n">
        <v>-312674.73</v>
      </c>
      <c r="U94" s="91" t="n">
        <v>104224.91</v>
      </c>
      <c r="V94" s="91" t="n">
        <v/>
      </c>
      <c r="W94" s="75" t="n"/>
    </row>
    <row r="95">
      <c r="A95" s="142" t="inlineStr">
        <is>
          <t>04/02/2021</t>
        </is>
      </c>
      <c r="B95" s="74" t="inlineStr">
        <is>
          <t>juros_encarg_add</t>
        </is>
      </c>
      <c r="C95" s="75" t="n">
        <v>45.88</v>
      </c>
      <c r="D95" s="75" t="n">
        <v>0</v>
      </c>
      <c r="E95" s="75" t="n">
        <v>-105001.41</v>
      </c>
      <c r="F95" s="77" t="n"/>
      <c r="G95" s="78" t="n">
        <v>0</v>
      </c>
      <c r="H95" s="78" t="n">
        <v>0</v>
      </c>
      <c r="I95" s="79" t="n">
        <v>-0</v>
      </c>
      <c r="J95" s="79" t="n">
        <v>-0</v>
      </c>
      <c r="K95" s="80" t="n">
        <v>104224.91</v>
      </c>
      <c r="L95" s="80" t="n">
        <v>45.88</v>
      </c>
      <c r="M95" s="81" t="n">
        <v>0.004116094674724957</v>
      </c>
      <c r="N95" s="90" t="n">
        <v>0.0550056360796074</v>
      </c>
      <c r="O95" s="82" t="inlineStr">
        <is>
          <t>juros_encarg_add</t>
        </is>
      </c>
      <c r="P95" s="88" t="n">
        <v>0</v>
      </c>
      <c r="Q95" s="83" t="n">
        <v>45.88</v>
      </c>
      <c r="R95" s="91" t="n">
        <v>-70354.22922920878</v>
      </c>
      <c r="S95" s="84" t="n">
        <v>-0</v>
      </c>
      <c r="T95" s="89" t="n">
        <v>-0</v>
      </c>
      <c r="U95" s="91" t="n">
        <v>104224.91</v>
      </c>
      <c r="V95" s="91" t="n">
        <v/>
      </c>
      <c r="W95" s="75" t="n"/>
    </row>
    <row r="96">
      <c r="A96" s="142" t="inlineStr">
        <is>
          <t>04/02/2021</t>
        </is>
      </c>
      <c r="B96" s="74" t="inlineStr">
        <is>
          <t>multa</t>
        </is>
      </c>
      <c r="C96" s="75" t="n">
        <v>2100.03</v>
      </c>
      <c r="D96" s="75" t="n">
        <v>0</v>
      </c>
      <c r="E96" s="75" t="n">
        <v>-107101.44</v>
      </c>
      <c r="F96" s="77" t="n"/>
      <c r="G96" s="78" t="n">
        <v>0</v>
      </c>
      <c r="H96" s="78" t="n">
        <v>0</v>
      </c>
      <c r="I96" s="79" t="n">
        <v>-0</v>
      </c>
      <c r="J96" s="79" t="n">
        <v>-0</v>
      </c>
      <c r="K96" s="80" t="n">
        <v>105001.41</v>
      </c>
      <c r="L96" s="80" t="n">
        <v>2100.03</v>
      </c>
      <c r="M96" s="81" t="n">
        <v>0.02000001714262694</v>
      </c>
      <c r="N96" s="90" t="n">
        <v>0.02000001714262694</v>
      </c>
      <c r="O96" s="82" t="inlineStr">
        <is>
          <t>multa</t>
        </is>
      </c>
      <c r="P96" s="88" t="n">
        <v>0</v>
      </c>
      <c r="Q96" s="83" t="n">
        <v>0</v>
      </c>
      <c r="R96" s="91" t="n">
        <v>-72454.25922920878</v>
      </c>
      <c r="S96" s="84" t="n">
        <v>-0</v>
      </c>
      <c r="T96" s="89" t="n">
        <v>-0</v>
      </c>
      <c r="U96" s="91" t="n">
        <v>105001.41</v>
      </c>
      <c r="V96" s="91" t="n">
        <v/>
      </c>
      <c r="W96" s="75" t="n"/>
    </row>
    <row r="97">
      <c r="A97" s="144" t="n"/>
      <c r="B97" s="96" t="inlineStr">
        <is>
          <t>Saldo final conforme extratos</t>
        </is>
      </c>
      <c r="C97" s="97" t="n"/>
      <c r="D97" s="98" t="n"/>
      <c r="E97" s="75">
        <f>E19-C20+D20</f>
        <v/>
      </c>
      <c r="F97" s="99" t="n"/>
      <c r="G97" s="100" t="n"/>
      <c r="H97" s="65" t="n"/>
      <c r="I97" s="101" t="n"/>
      <c r="J97" s="101" t="n"/>
      <c r="K97" s="102" t="n"/>
      <c r="L97" s="101" t="n"/>
      <c r="M97" s="103" t="n"/>
      <c r="N97" s="65" t="n"/>
      <c r="O97" s="104" t="inlineStr">
        <is>
          <t>Saldo final recalculado</t>
        </is>
      </c>
      <c r="P97" s="102" t="n"/>
      <c r="Q97" s="105" t="n"/>
      <c r="R97" s="91">
        <f>R19-P20+Q20-C20+D20</f>
        <v/>
      </c>
      <c r="S97" s="106" t="n"/>
      <c r="T97" s="107" t="n"/>
      <c r="U97" s="107" t="n"/>
      <c r="V97" s="42" t="n"/>
      <c r="W97" s="42" t="n"/>
      <c r="X97" s="85">
        <f>#REF!-#REF!</f>
        <v/>
      </c>
    </row>
    <row r="98">
      <c r="A98" s="144" t="n"/>
      <c r="B98" s="30" t="n"/>
      <c r="C98" s="31" t="n"/>
      <c r="D98" s="32" t="n"/>
      <c r="E98" s="31" t="n"/>
      <c r="F98" s="31" t="n"/>
      <c r="G98" s="33" t="n"/>
      <c r="H98" s="33" t="n"/>
      <c r="I98" s="51" t="n"/>
      <c r="J98" s="51" t="n"/>
      <c r="K98" s="108" t="n"/>
      <c r="L98" s="51" t="n"/>
      <c r="M98" s="52" t="n"/>
      <c r="N98" s="33" t="n"/>
      <c r="O98" s="36" t="n"/>
      <c r="P98" s="31" t="n"/>
      <c r="Q98" s="31" t="n"/>
      <c r="R98" s="107" t="n"/>
      <c r="S98" s="107" t="n"/>
      <c r="T98" s="107" t="n"/>
      <c r="U98" s="107" t="n"/>
      <c r="V98" s="31" t="n"/>
      <c r="W98" s="31" t="n"/>
      <c r="X98" s="85">
        <f>#REF!-#REF!</f>
        <v/>
      </c>
    </row>
    <row r="99">
      <c r="A99" s="144" t="n"/>
      <c r="B99" s="109" t="inlineStr">
        <is>
          <t>Diferença entre saldos</t>
        </is>
      </c>
      <c r="C99" s="110" t="n"/>
      <c r="D99" s="111" t="n"/>
      <c r="E99" s="110" t="n"/>
      <c r="F99" s="112" t="n"/>
      <c r="G99" s="65" t="n"/>
      <c r="H99" s="65" t="n"/>
      <c r="I99" s="101" t="n"/>
      <c r="J99" s="101" t="n"/>
      <c r="K99" s="102" t="n"/>
      <c r="L99" s="101" t="n"/>
      <c r="M99" s="103" t="n"/>
      <c r="N99" s="65" t="n"/>
      <c r="O99" s="113" t="n"/>
      <c r="P99" s="145">
        <f>R20-E20</f>
        <v/>
      </c>
      <c r="Q99" s="31" t="n"/>
      <c r="R99" s="31" t="n"/>
      <c r="S99" s="31" t="n"/>
      <c r="T99" s="31" t="n"/>
      <c r="U99" s="31" t="n"/>
      <c r="V99" s="31" t="n"/>
      <c r="W99" s="32" t="n"/>
      <c r="X99" s="85">
        <f>#REF!-#REF!</f>
        <v/>
      </c>
    </row>
    <row r="100">
      <c r="A100" s="144" t="n"/>
      <c r="B100" s="30" t="n"/>
      <c r="C100" s="31" t="n"/>
      <c r="D100" s="32" t="n"/>
      <c r="E100" s="31" t="n"/>
      <c r="G100" s="33" t="n"/>
      <c r="H100" s="33" t="n"/>
      <c r="I100" s="51" t="n"/>
      <c r="J100" s="51" t="n"/>
      <c r="K100" s="108" t="n"/>
      <c r="L100" s="51" t="n"/>
      <c r="M100" s="52" t="n"/>
      <c r="N100" s="33" t="n"/>
      <c r="O100" s="36" t="n"/>
      <c r="P100" s="32" t="n"/>
      <c r="Q100" s="31" t="n"/>
      <c r="R100" s="31" t="n"/>
      <c r="S100" s="31" t="n"/>
      <c r="T100" s="31" t="n"/>
      <c r="U100" s="31" t="n"/>
      <c r="V100" s="31" t="n"/>
      <c r="W100" s="32" t="n"/>
      <c r="X100" s="85">
        <f>#REF!-#REF!</f>
        <v/>
      </c>
    </row>
    <row r="101">
      <c r="A101" s="144" t="n"/>
      <c r="B101" s="30" t="n"/>
      <c r="C101" s="31" t="n"/>
      <c r="D101" s="32" t="n"/>
      <c r="E101" s="31" t="n"/>
      <c r="G101" s="33" t="n"/>
      <c r="H101" s="33" t="n"/>
      <c r="I101" s="51" t="n"/>
      <c r="J101" s="51" t="n"/>
      <c r="K101" s="108" t="n"/>
      <c r="L101" s="51" t="n"/>
      <c r="M101" s="52" t="n"/>
      <c r="N101" s="33" t="n"/>
      <c r="O101" s="82" t="inlineStr">
        <is>
          <t>Valor apurado (incontroverso):</t>
        </is>
      </c>
      <c r="P101" s="76">
        <f>R20</f>
        <v/>
      </c>
      <c r="Q101" s="31" t="n"/>
      <c r="R101" s="31" t="n"/>
      <c r="S101" s="31" t="n"/>
      <c r="T101" s="31" t="n"/>
      <c r="U101" s="31" t="n"/>
      <c r="V101" s="31" t="n"/>
      <c r="W101" s="32" t="n"/>
      <c r="X101" s="85">
        <f>#REF!-#REF!</f>
        <v/>
      </c>
      <c r="Y101" s="18" t="n"/>
    </row>
    <row r="102">
      <c r="A102" s="144" t="n"/>
      <c r="B102" s="30" t="n"/>
      <c r="C102" s="31" t="n"/>
      <c r="D102" s="32" t="n"/>
      <c r="E102" s="31" t="n"/>
      <c r="G102" s="33" t="n"/>
      <c r="H102" s="33" t="n"/>
      <c r="I102" s="51" t="n"/>
      <c r="J102" s="51" t="n"/>
      <c r="K102" s="108" t="n"/>
      <c r="L102" s="51" t="n"/>
      <c r="M102" s="52" t="n"/>
      <c r="N102" s="33" t="n"/>
      <c r="O102" s="82">
        <f>"Valor "&amp;AA3&amp;" (controverso):"</f>
        <v/>
      </c>
      <c r="P102" s="76">
        <f>E20</f>
        <v/>
      </c>
      <c r="Q102" s="31" t="n"/>
      <c r="R102" s="31" t="n"/>
      <c r="S102" s="31" t="n"/>
      <c r="T102" s="31" t="n"/>
      <c r="U102" s="31" t="n"/>
      <c r="V102" s="31" t="n"/>
      <c r="W102" s="32" t="n"/>
      <c r="X102" s="85">
        <f>#REF!-#REF!</f>
        <v/>
      </c>
      <c r="Y102" s="18" t="n"/>
    </row>
    <row r="103">
      <c r="A103" s="144" t="n"/>
      <c r="B103" s="30" t="n"/>
      <c r="C103" s="31" t="n"/>
      <c r="D103" s="32" t="n"/>
      <c r="E103" s="31" t="n"/>
      <c r="G103" s="33" t="n"/>
      <c r="H103" s="33" t="n"/>
      <c r="I103" s="51" t="n"/>
      <c r="J103" s="51" t="n"/>
      <c r="K103" s="108" t="n"/>
      <c r="L103" s="51" t="n"/>
      <c r="M103" s="52" t="n"/>
      <c r="N103" s="33" t="n"/>
      <c r="O103" s="115">
        <f>"Excesso de "&amp;AB3&amp;":"</f>
        <v/>
      </c>
      <c r="P103" s="146">
        <f>ABS(P24-P25)</f>
        <v/>
      </c>
      <c r="Q103" s="31" t="n"/>
      <c r="R103" s="31" t="n"/>
      <c r="S103" s="31" t="n"/>
      <c r="T103" s="31" t="n"/>
      <c r="U103" s="31" t="n"/>
      <c r="V103" s="31" t="n"/>
      <c r="W103" s="32" t="n"/>
      <c r="X103" s="85">
        <f>#REF!-#REF!</f>
        <v/>
      </c>
      <c r="Y103" s="18" t="n"/>
    </row>
    <row r="104">
      <c r="A104" s="144" t="n"/>
      <c r="B104" s="30" t="n"/>
      <c r="C104" s="31" t="n"/>
      <c r="D104" s="32" t="n"/>
      <c r="E104" s="31" t="n"/>
      <c r="G104" s="33" t="n"/>
      <c r="H104" s="33" t="n"/>
      <c r="I104" s="51" t="n"/>
      <c r="J104" s="51" t="n"/>
      <c r="K104" s="108" t="n"/>
      <c r="L104" s="51" t="n"/>
      <c r="M104" s="52" t="n"/>
      <c r="N104" s="33" t="n"/>
      <c r="O104" s="46" t="inlineStr">
        <is>
          <t>Proveito econômico pretendido.</t>
        </is>
      </c>
      <c r="P104" s="32" t="n"/>
      <c r="Q104" s="31" t="n"/>
      <c r="R104" s="31" t="n"/>
      <c r="S104" s="31" t="n"/>
      <c r="T104" s="31" t="n"/>
      <c r="U104" s="31" t="n"/>
      <c r="V104" s="31" t="n"/>
      <c r="W104" s="32" t="n"/>
      <c r="X104" s="85">
        <f>#REF!-#REF!</f>
        <v/>
      </c>
      <c r="Y104" s="18" t="n"/>
    </row>
    <row r="105">
      <c r="X105" s="85">
        <f>#REF!-#REF!</f>
        <v/>
      </c>
      <c r="Y105" s="18" t="n"/>
    </row>
    <row r="106">
      <c r="B106" s="147" t="inlineStr">
        <is>
          <t>Valor conf. instituição financeira:</t>
        </is>
      </c>
      <c r="C106" s="118" t="n"/>
      <c r="D106" s="118" t="n"/>
      <c r="E106" s="119">
        <f>E20</f>
        <v/>
      </c>
      <c r="O106" s="148" t="inlineStr">
        <is>
          <t xml:space="preserve">Valor apurado: </t>
        </is>
      </c>
      <c r="P106" s="148" t="n"/>
      <c r="Q106" s="148" t="n"/>
      <c r="R106" s="118">
        <f>R20</f>
        <v/>
      </c>
      <c r="X106" s="85">
        <f>#REF!-#REF!</f>
        <v/>
      </c>
      <c r="Y106" s="18" t="n"/>
    </row>
    <row r="107">
      <c r="B107" s="147" t="inlineStr">
        <is>
          <t xml:space="preserve">Fator de correção: </t>
        </is>
      </c>
      <c r="C107" s="118" t="n"/>
      <c r="D107" s="118" t="n"/>
      <c r="E107" s="149" t="n"/>
      <c r="O107" s="147" t="inlineStr">
        <is>
          <t xml:space="preserve">Fator de correção: </t>
        </is>
      </c>
      <c r="P107" s="148" t="n"/>
      <c r="Q107" s="148" t="n"/>
      <c r="R107" s="148">
        <f>G30</f>
        <v/>
      </c>
      <c r="X107" s="85">
        <f>#REF!-#REF!</f>
        <v/>
      </c>
      <c r="Y107" s="18" t="n"/>
    </row>
    <row r="108">
      <c r="B108" s="147" t="inlineStr">
        <is>
          <t xml:space="preserve">Correção monetária: </t>
        </is>
      </c>
      <c r="C108" s="118" t="n"/>
      <c r="D108" s="118" t="n"/>
      <c r="E108" s="119">
        <f>E32-E29</f>
        <v/>
      </c>
      <c r="O108" s="147" t="inlineStr">
        <is>
          <t xml:space="preserve">Correção monetária: </t>
        </is>
      </c>
      <c r="P108" s="148" t="n"/>
      <c r="Q108" s="148" t="n"/>
      <c r="R108" s="118">
        <f>R32-R29</f>
        <v/>
      </c>
      <c r="X108" s="85">
        <f>#REF!-#REF!</f>
        <v/>
      </c>
      <c r="Y108" s="18" t="n"/>
    </row>
    <row r="109">
      <c r="B109" s="147" t="inlineStr">
        <is>
          <t>Valor atualizado (controverso):</t>
        </is>
      </c>
      <c r="C109" s="118" t="n"/>
      <c r="D109" s="118" t="n"/>
      <c r="E109" s="119">
        <f>E29*E30</f>
        <v/>
      </c>
      <c r="O109" s="147" t="inlineStr">
        <is>
          <t>Valor atualizado (incontroverso):</t>
        </is>
      </c>
      <c r="P109" s="148" t="n"/>
      <c r="Q109" s="148" t="n"/>
      <c r="R109" s="118">
        <f>R29*R30</f>
        <v/>
      </c>
      <c r="X109" s="85">
        <f>#REF!-#REF!</f>
        <v/>
      </c>
      <c r="Y109" s="18" t="n"/>
    </row>
    <row r="110">
      <c r="O110" s="150" t="n"/>
      <c r="P110" s="150" t="n"/>
      <c r="Q110" s="150" t="n"/>
      <c r="R110" s="124" t="n"/>
      <c r="X110" s="85">
        <f>#REF!-#REF!</f>
        <v/>
      </c>
      <c r="Y110" s="18" t="n"/>
    </row>
    <row r="111">
      <c r="O111" s="151" t="inlineStr">
        <is>
          <t xml:space="preserve">Excesso apurado: </t>
        </is>
      </c>
      <c r="P111" s="151" t="n"/>
      <c r="Q111" s="151" t="n"/>
      <c r="R111" s="152">
        <f>ABS(E32-R32)</f>
        <v/>
      </c>
      <c r="X111" s="85">
        <f>#REF!-#REF!</f>
        <v/>
      </c>
      <c r="Y111" s="18" t="n"/>
    </row>
    <row r="112">
      <c r="O112" s="153" t="inlineStr">
        <is>
          <t>Proveito econômico pretendido.</t>
        </is>
      </c>
      <c r="P112" s="148" t="n"/>
      <c r="Q112" s="148" t="n"/>
      <c r="R112" s="118" t="n"/>
      <c r="X112" s="85">
        <f>#REF!-#REF!</f>
        <v/>
      </c>
      <c r="Y112" s="18" t="n"/>
    </row>
    <row r="113">
      <c r="X113" s="85">
        <f>#REF!-#REF!</f>
        <v/>
      </c>
      <c r="Y113" s="18" t="n"/>
    </row>
    <row r="114">
      <c r="O114" s="129">
        <f>"Excesso utilizado na operação nº xxxx - Anexo "</f>
        <v/>
      </c>
      <c r="X114" s="85">
        <f>#REF!-#REF!</f>
        <v/>
      </c>
      <c r="Y114" s="18" t="n"/>
    </row>
    <row r="115">
      <c r="X115" s="85">
        <f>#REF!-#REF!</f>
        <v/>
      </c>
      <c r="Y115" s="18" t="n"/>
    </row>
    <row r="116">
      <c r="X116" s="85">
        <f>#REF!-#REF!</f>
        <v/>
      </c>
      <c r="Y116" s="18" t="n"/>
    </row>
    <row r="117">
      <c r="X117" s="85">
        <f>#REF!-#REF!</f>
        <v/>
      </c>
      <c r="Y117" s="18" t="n"/>
    </row>
    <row r="118">
      <c r="X118" s="85">
        <f>#REF!-#REF!</f>
        <v/>
      </c>
      <c r="Y118" s="18" t="n"/>
    </row>
    <row r="119">
      <c r="X119" s="85">
        <f>#REF!-#REF!</f>
        <v/>
      </c>
      <c r="Y119" s="18" t="n"/>
    </row>
    <row r="120">
      <c r="X120" s="85">
        <f>#REF!-#REF!</f>
        <v/>
      </c>
      <c r="Y120" s="18" t="n"/>
    </row>
    <row r="121">
      <c r="X121" s="85">
        <f>#REF!-#REF!</f>
        <v/>
      </c>
      <c r="Y121" s="18" t="n"/>
    </row>
    <row r="122">
      <c r="X122" s="85">
        <f>#REF!-#REF!</f>
        <v/>
      </c>
      <c r="Y122" s="18" t="n"/>
    </row>
    <row r="123">
      <c r="X123" s="85">
        <f>#REF!-#REF!</f>
        <v/>
      </c>
      <c r="Y123" s="18" t="n"/>
    </row>
    <row r="124">
      <c r="X124" s="85">
        <f>#REF!-#REF!</f>
        <v/>
      </c>
      <c r="Y124" s="18" t="n"/>
    </row>
    <row r="125">
      <c r="X125" s="85">
        <f>#REF!-#REF!</f>
        <v/>
      </c>
      <c r="Y125" s="18" t="n"/>
    </row>
    <row r="126">
      <c r="X126" s="85">
        <f>#REF!-#REF!</f>
        <v/>
      </c>
      <c r="Y126" s="18" t="n"/>
    </row>
    <row r="127">
      <c r="X127" s="85">
        <f>#REF!-#REF!</f>
        <v/>
      </c>
      <c r="Y127" s="18" t="n"/>
    </row>
    <row r="128">
      <c r="X128" s="85">
        <f>V13-Q13</f>
        <v/>
      </c>
      <c r="Y128" s="18" t="n"/>
    </row>
    <row r="129">
      <c r="X129" s="85">
        <f>V14-Q14</f>
        <v/>
      </c>
      <c r="Y129" s="18" t="n"/>
    </row>
    <row r="130">
      <c r="X130" s="85">
        <f>V15-Q15</f>
        <v/>
      </c>
      <c r="Y130" s="18" t="n"/>
    </row>
    <row r="131">
      <c r="X131" s="85">
        <f>V16-Q16</f>
        <v/>
      </c>
      <c r="Y131" s="18" t="n"/>
    </row>
    <row r="132">
      <c r="X132" s="85">
        <f>V17-Q17</f>
        <v/>
      </c>
      <c r="Y132" s="18" t="n"/>
    </row>
    <row r="133">
      <c r="X133" s="85">
        <f>V18-Q18</f>
        <v/>
      </c>
      <c r="Y133" s="18" t="n"/>
    </row>
    <row r="134">
      <c r="X134" s="85">
        <f>V19-Q19</f>
        <v/>
      </c>
      <c r="Y134" s="18" t="n"/>
    </row>
    <row r="135">
      <c r="X135" s="27">
        <f>SUM(X13:X57)</f>
        <v/>
      </c>
    </row>
    <row r="136"/>
    <row r="137"/>
    <row r="138"/>
    <row r="139"/>
    <row r="140"/>
    <row r="141"/>
    <row r="142"/>
    <row r="143"/>
    <row r="144"/>
    <row r="145">
      <c r="Y145" s="122" t="inlineStr">
        <is>
          <t>RELAÇÃO DE ANEXOS</t>
        </is>
      </c>
      <c r="Z145" s="122" t="n"/>
    </row>
    <row r="146">
      <c r="Y146" s="122" t="n"/>
      <c r="Z146" s="122" t="n"/>
    </row>
    <row r="147">
      <c r="Y147" s="122" t="inlineStr">
        <is>
          <t>ANEXO 1</t>
        </is>
      </c>
      <c r="Z147" s="122" t="inlineStr">
        <is>
          <t>Certidão CORECON/PR</t>
        </is>
      </c>
    </row>
    <row r="148">
      <c r="Y148" s="122" t="inlineStr">
        <is>
          <t>ANEXO 2</t>
        </is>
      </c>
      <c r="Z148" s="154">
        <f>A1</f>
        <v/>
      </c>
    </row>
  </sheetData>
  <autoFilter ref="A12:W20"/>
  <mergeCells count="2">
    <mergeCell ref="A11:E11"/>
    <mergeCell ref="G11:W11"/>
  </mergeCells>
  <printOptions horizontalCentered="1"/>
  <pageMargins left="0.236111111111111" right="0.236111111111111" top="0.748611111111111" bottom="0.748611111111111" header="0.315277777777778" footer="0.315277777777778"/>
  <pageSetup orientation="landscape" paperSize="9" scale="51" fitToHeight="0" firstPageNumber="0" horizontalDpi="300" verticalDpi="300"/>
  <headerFooter>
    <oddHeader>&amp;C&amp;"Arial Narrow,Normal"&amp;A</oddHeader>
    <oddFooter>&amp;C&amp;"Kabel,Regular"Valor Efetivo_x000a_Cálculos Judiciais&amp;R&amp;"Arial Narrow,Normal"&amp;9 &amp;A_x000a_&amp;P/&amp;N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MagnoLeticia</dc:creator>
  <dc:language xmlns:dc="http://purl.org/dc/elements/1.1/">pt-BR</dc:language>
  <dcterms:created xmlns:dcterms="http://purl.org/dc/terms/" xmlns:xsi="http://www.w3.org/2001/XMLSchema-instance" xsi:type="dcterms:W3CDTF">2020-09-22T14:35:18Z</dcterms:created>
  <dcterms:modified xmlns:dcterms="http://purl.org/dc/terms/" xmlns:xsi="http://www.w3.org/2001/XMLSchema-instance" xsi:type="dcterms:W3CDTF">2026-05-28T18:10:49Z</dcterms:modified>
  <cp:lastModifiedBy>Auxiliar 06 Valor Efetivo</cp:lastModifiedBy>
  <cp:revision>2</cp:revision>
  <cp:lastPrinted>2025-01-28T18:49:25Z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