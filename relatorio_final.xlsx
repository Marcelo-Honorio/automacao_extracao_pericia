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>
        <f>"Recálculo da operação nº "&amp;AA1&amp;" - Capitalização "&amp;AA2</f>
        <v/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>
        <f>SUMIF($B$13:$B$19,#REF!,$C$13:$C$19)</f>
        <v/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0</v>
      </c>
      <c r="R20" s="91" t="n">
        <v>-56547.16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0</v>
      </c>
      <c r="R21" s="91" t="n">
        <v>-56635.9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-56637.06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-56637.4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-56636.24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-56635.9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-96635.89999999999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-96787.89999999999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-96635.89999999999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-96635.89999999999</v>
      </c>
      <c r="S29" s="84" t="n">
        <v>-2906385.3</v>
      </c>
      <c r="T29" s="89" t="n">
        <v>-2906385.3</v>
      </c>
      <c r="U29" s="91" t="n">
        <v>92147.63333333333</v>
      </c>
      <c r="V29" s="91" t="n">
        <v>-251.7414155233643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-96635.89999999999</v>
      </c>
      <c r="S30" s="84" t="n">
        <v>-3016510.18</v>
      </c>
      <c r="T30" s="89" t="n">
        <v>-3016510.18</v>
      </c>
      <c r="U30" s="91" t="n">
        <v>96879.50999999999</v>
      </c>
      <c r="V30" s="91" t="n">
        <v>-426.1956010409145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-96635.89999999999</v>
      </c>
      <c r="S31" s="84" t="n">
        <v>-2932508.1</v>
      </c>
      <c r="T31" s="89" t="n">
        <v>-2932508.1</v>
      </c>
      <c r="U31" s="91" t="n">
        <v>97306.78</v>
      </c>
      <c r="V31" s="91" t="n">
        <v>-455.1479644328822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-96635.89999999999</v>
      </c>
      <c r="S32" s="84" t="n">
        <v>-3043622.78</v>
      </c>
      <c r="T32" s="89" t="n">
        <v>-3043622.78</v>
      </c>
      <c r="U32" s="91" t="n">
        <v>97750.27</v>
      </c>
      <c r="V32" s="91" t="n">
        <v>-426.1952713685529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-96635.89999999999</v>
      </c>
      <c r="S33" s="84" t="n">
        <v>-3057494.66</v>
      </c>
      <c r="T33" s="89" t="n">
        <v>-3057494.66</v>
      </c>
      <c r="U33" s="91" t="n">
        <v>98181.38</v>
      </c>
      <c r="V33" s="91" t="n">
        <v>-455.1519127992948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-96635.89999999999</v>
      </c>
      <c r="S34" s="84" t="n">
        <v>-2774194.64</v>
      </c>
      <c r="T34" s="89" t="n">
        <v>-2774194.64</v>
      </c>
      <c r="U34" s="91" t="n">
        <v>98628.86</v>
      </c>
      <c r="V34" s="91" t="n">
        <v>-455.1524456510132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-96635.89999999999</v>
      </c>
      <c r="S35" s="84" t="n">
        <v>-3084070.96</v>
      </c>
      <c r="T35" s="89" t="n">
        <v>-3084070.96</v>
      </c>
      <c r="U35" s="91" t="n">
        <v>99078.38</v>
      </c>
      <c r="V35" s="91" t="n">
        <v>-371.16139517371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-96635.89999999999</v>
      </c>
      <c r="S36" s="84" t="n">
        <v>-2998187.4</v>
      </c>
      <c r="T36" s="89" t="n">
        <v>-2998187.4</v>
      </c>
      <c r="U36" s="91" t="n">
        <v>99486.16</v>
      </c>
      <c r="V36" s="91" t="n">
        <v>-455.1451076391307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-96635.89999999999</v>
      </c>
      <c r="S37" s="84" t="n">
        <v>-3111790.54</v>
      </c>
      <c r="T37" s="89" t="n">
        <v>-3111790.54</v>
      </c>
      <c r="U37" s="91" t="n">
        <v>99939.58</v>
      </c>
      <c r="V37" s="91" t="n">
        <v>-426.1898967756351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-96635.89999999999</v>
      </c>
      <c r="S38" s="84" t="n">
        <v>-3025135.2</v>
      </c>
      <c r="T38" s="89" t="n">
        <v>-3025135.2</v>
      </c>
      <c r="U38" s="91" t="n">
        <v>100380.34</v>
      </c>
      <c r="V38" s="91" t="n">
        <v>-455.1497523686898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-96635.89999999999</v>
      </c>
      <c r="S39" s="84" t="n">
        <v>-3139759.67</v>
      </c>
      <c r="T39" s="89" t="n">
        <v>-3139759.67</v>
      </c>
      <c r="U39" s="91" t="n">
        <v>100837.84</v>
      </c>
      <c r="V39" s="91" t="n">
        <v>-426.197980906763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-96635.89999999999</v>
      </c>
      <c r="S40" s="84" t="n">
        <v>-2034883.6</v>
      </c>
      <c r="T40" s="89" t="n">
        <v>-2034883.6</v>
      </c>
      <c r="U40" s="91" t="n">
        <v>101282.57</v>
      </c>
      <c r="V40" s="91" t="n">
        <v>-455.1477186558352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0</v>
      </c>
      <c r="R41" s="91" t="n">
        <v>-96915.56999999999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0</v>
      </c>
      <c r="R42" s="91" t="n">
        <v>-96996.75999999999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-96997.81999999999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-96998.12999999999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-96997.06999999999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-96996.75999999999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-96996.75999999999</v>
      </c>
      <c r="S47" s="84" t="n">
        <v>-3077080.2</v>
      </c>
      <c r="T47" s="89" t="n">
        <v>-3077080.2</v>
      </c>
      <c r="U47" s="91" t="n">
        <v>101872.2270967742</v>
      </c>
      <c r="V47" s="91" t="n">
        <v>-455.7533161977407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-96996.75999999999</v>
      </c>
      <c r="S48" s="84" t="n">
        <v>-3193672.7</v>
      </c>
      <c r="T48" s="89" t="n">
        <v>-3193672.7</v>
      </c>
      <c r="U48" s="91" t="n">
        <v>102569.34</v>
      </c>
      <c r="V48" s="91" t="n">
        <v>-427.7833351915854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-96996.75999999999</v>
      </c>
      <c r="S49" s="84" t="n">
        <v>-3104737.2</v>
      </c>
      <c r="T49" s="89" t="n">
        <v>-3104737.2</v>
      </c>
      <c r="U49" s="91" t="n">
        <v>103021.7</v>
      </c>
      <c r="V49" s="91" t="n">
        <v>-456.8509058466366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-96996.75999999999</v>
      </c>
      <c r="S50" s="84" t="n">
        <v>-3222377.77</v>
      </c>
      <c r="T50" s="89" t="n">
        <v>-3222377.77</v>
      </c>
      <c r="U50" s="91" t="n">
        <v>103491.24</v>
      </c>
      <c r="V50" s="91" t="n">
        <v>-427.7872326855828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-96996.75999999999</v>
      </c>
      <c r="S51" s="84" t="n">
        <v>-3237064.33</v>
      </c>
      <c r="T51" s="89" t="n">
        <v>-3237064.33</v>
      </c>
      <c r="U51" s="91" t="n">
        <v>103947.67</v>
      </c>
      <c r="V51" s="91" t="n">
        <v>-456.8506401846879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-96996.75999999999</v>
      </c>
      <c r="S52" s="84" t="n">
        <v>-2937125.8</v>
      </c>
      <c r="T52" s="89" t="n">
        <v>-2937125.8</v>
      </c>
      <c r="U52" s="91" t="n">
        <v>104421.43</v>
      </c>
      <c r="V52" s="91" t="n">
        <v>-456.8513645190588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-96996.75999999999</v>
      </c>
      <c r="S53" s="84" t="n">
        <v>-3265201.17</v>
      </c>
      <c r="T53" s="89" t="n">
        <v>-3265201.17</v>
      </c>
      <c r="U53" s="91" t="n">
        <v>104897.35</v>
      </c>
      <c r="V53" s="91" t="n">
        <v>-372.5393553862689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-96996.75999999999</v>
      </c>
      <c r="S54" s="84" t="n">
        <v>-3174273.6</v>
      </c>
      <c r="T54" s="89" t="n">
        <v>-3174273.6</v>
      </c>
      <c r="U54" s="91" t="n">
        <v>105329.07</v>
      </c>
      <c r="V54" s="91" t="n">
        <v>-456.8449523664911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-96996.75999999999</v>
      </c>
      <c r="S55" s="84" t="n">
        <v>-1700412.32</v>
      </c>
      <c r="T55" s="89" t="n">
        <v>-1700412.32</v>
      </c>
      <c r="U55" s="91" t="n">
        <v>105809.12</v>
      </c>
      <c r="V55" s="91" t="n">
        <v>-427.7848455218292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-96937.84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-96853.92999999999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-90604.87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-89896.33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-85451.89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-84912.10000000001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-84912.10000000001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-449.4186127781232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-84912.10000000001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-374.491817608628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-84912.10000000001</v>
      </c>
      <c r="S64" s="84" t="n">
        <v>-1814864.42</v>
      </c>
      <c r="T64" s="89" t="n">
        <v>-1814864.42</v>
      </c>
      <c r="U64" s="91" t="n">
        <v>95085.81</v>
      </c>
      <c r="V64" s="91" t="n">
        <v>-399.9319442075342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0</v>
      </c>
      <c r="R65" s="91" t="n">
        <v>-85168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0</v>
      </c>
      <c r="R66" s="91" t="n">
        <v>-85242.28999999999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-85243.25999999999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-85243.53999999999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-85242.56999999999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-85242.28999999999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-85242.28999999999</v>
      </c>
      <c r="S71" s="84" t="n">
        <v>-2888558.7</v>
      </c>
      <c r="T71" s="89" t="n">
        <v>-2888558.7</v>
      </c>
      <c r="U71" s="91" t="n">
        <v>95646.99548387097</v>
      </c>
      <c r="V71" s="91" t="n">
        <v>-400.5268739092156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-85242.28999999999</v>
      </c>
      <c r="S72" s="84" t="n">
        <v>-2998008.14</v>
      </c>
      <c r="T72" s="89" t="n">
        <v>-2998008.14</v>
      </c>
      <c r="U72" s="91" t="n">
        <v>96285.28999999999</v>
      </c>
      <c r="V72" s="91" t="n">
        <v>-375.9467146902618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-85242.28999999999</v>
      </c>
      <c r="S73" s="84" t="n">
        <v>-2914521.3</v>
      </c>
      <c r="T73" s="89" t="n">
        <v>-2914521.3</v>
      </c>
      <c r="U73" s="91" t="n">
        <v>96709.94</v>
      </c>
      <c r="V73" s="91" t="n">
        <v>-401.4850710615175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-85242.28999999999</v>
      </c>
      <c r="S74" s="84" t="n">
        <v>-3024954.27</v>
      </c>
      <c r="T74" s="89" t="n">
        <v>-3024954.27</v>
      </c>
      <c r="U74" s="91" t="n">
        <v>97150.71000000001</v>
      </c>
      <c r="V74" s="91" t="n">
        <v>-375.9407581622424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-85242.28999999999</v>
      </c>
      <c r="S75" s="84" t="n">
        <v>-3038740.9</v>
      </c>
      <c r="T75" s="89" t="n">
        <v>-3038740.9</v>
      </c>
      <c r="U75" s="91" t="n">
        <v>97579.17</v>
      </c>
      <c r="V75" s="91" t="n">
        <v>-401.4835853813657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-85242.28999999999</v>
      </c>
      <c r="S76" s="84" t="n">
        <v>-2855613.76</v>
      </c>
      <c r="T76" s="89" t="n">
        <v>-2855613.76</v>
      </c>
      <c r="U76" s="91" t="n">
        <v>98023.89999999999</v>
      </c>
      <c r="V76" s="91" t="n">
        <v>-400.3899063617669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-85242.28999999999</v>
      </c>
      <c r="S77" s="84" t="n">
        <v>-3065529.86</v>
      </c>
      <c r="T77" s="89" t="n">
        <v>-3065529.86</v>
      </c>
      <c r="U77" s="91" t="n">
        <v>98469.44</v>
      </c>
      <c r="V77" s="91" t="n">
        <v>-350.2834584595251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-85242.28999999999</v>
      </c>
      <c r="S78" s="84" t="n">
        <v>-2980125.6</v>
      </c>
      <c r="T78" s="89" t="n">
        <v>-2980125.6</v>
      </c>
      <c r="U78" s="91" t="n">
        <v>98888.06</v>
      </c>
      <c r="V78" s="91" t="n">
        <v>-400.3829614176663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-85242.28999999999</v>
      </c>
      <c r="S79" s="84" t="n">
        <v>-1596390.88</v>
      </c>
      <c r="T79" s="89" t="n">
        <v>-1596390.88</v>
      </c>
      <c r="U79" s="91" t="n">
        <v>99337.52</v>
      </c>
      <c r="V79" s="91" t="n">
        <v>-374.9158316404446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-13909.23327915017</v>
      </c>
      <c r="Q80" s="83" t="n">
        <v>233.8</v>
      </c>
      <c r="R80" s="91" t="n">
        <v>-71333.05672084983</v>
      </c>
      <c r="S80" s="84" t="n">
        <v>-0</v>
      </c>
      <c r="T80" s="89" t="n">
        <v>-0</v>
      </c>
      <c r="U80" s="91" t="n">
        <v>99774.42999999999</v>
      </c>
      <c r="V80" s="91" t="n">
        <v>-206.4133332362132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28675.17327915017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-71333.05672084983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-71333.05672084983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-71333.05672084983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-71333.05672084983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0</v>
      </c>
      <c r="R86" s="91" t="n">
        <v>-71588.95672084982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0</v>
      </c>
      <c r="R87" s="91" t="n">
        <v>-71663.24672084981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-71663.24672084981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-71663.24672084981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-71663.24672084981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-71663.24672084981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-71663.24672084981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-71663.24672084981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0</v>
      </c>
      <c r="R94" s="91" t="n">
        <v>-72393.86672084981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-72393.86672084981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-74493.89672084981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2026-05-06T12:53:31Z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