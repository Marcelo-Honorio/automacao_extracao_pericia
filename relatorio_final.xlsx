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09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27/06/2022</t>
        </is>
      </c>
      <c r="B13" s="74" t="inlineStr">
        <is>
          <t>capital</t>
        </is>
      </c>
      <c r="C13" s="75" t="n">
        <v>229362</v>
      </c>
      <c r="D13" s="75" t="n">
        <v>0</v>
      </c>
      <c r="E13" s="75" t="n">
        <v>-229362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-229362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27/06/2022</t>
        </is>
      </c>
      <c r="B14" s="74" t="inlineStr">
        <is>
          <t>tarifa</t>
        </is>
      </c>
      <c r="C14" s="75" t="n">
        <v>1146.81</v>
      </c>
      <c r="D14" s="75" t="n">
        <v>0</v>
      </c>
      <c r="E14" s="75" t="n">
        <v>-230508.81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tarifa</t>
        </is>
      </c>
      <c r="P14" s="88" t="n">
        <v>0</v>
      </c>
      <c r="Q14" s="83" t="n">
        <v>0</v>
      </c>
      <c r="R14" s="91" t="n">
        <v>-230508.81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27/06/2022</t>
        </is>
      </c>
      <c r="B15" s="74" t="inlineStr">
        <is>
          <t>iof</t>
        </is>
      </c>
      <c r="C15" s="75" t="n">
        <v>871.58</v>
      </c>
      <c r="D15" s="75" t="n">
        <v>0</v>
      </c>
      <c r="E15" s="75" t="n">
        <v>-231380.39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-231380.39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27/06/2022</t>
        </is>
      </c>
      <c r="B16" s="74" t="inlineStr">
        <is>
          <t>amortizacao</t>
        </is>
      </c>
      <c r="C16" s="75" t="n">
        <v>0</v>
      </c>
      <c r="D16" s="75" t="n">
        <v>2018.39</v>
      </c>
      <c r="E16" s="75" t="n">
        <v>-229362</v>
      </c>
      <c r="F16" s="77" t="n"/>
      <c r="G16" s="78" t="n">
        <v>1</v>
      </c>
      <c r="H16" s="78" t="n">
        <v>1</v>
      </c>
      <c r="I16" s="79" t="n">
        <v>-229362</v>
      </c>
      <c r="J16" s="79" t="n">
        <v>-229362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amortizacao</t>
        </is>
      </c>
      <c r="P16" s="88" t="n">
        <v>0</v>
      </c>
      <c r="Q16" s="83" t="n">
        <v>0</v>
      </c>
      <c r="R16" s="91" t="n">
        <v>-229362</v>
      </c>
      <c r="S16" s="84" t="n">
        <v>-229362</v>
      </c>
      <c r="T16" s="89" t="n">
        <v>-229362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28/06/2022</t>
        </is>
      </c>
      <c r="B17" s="74" t="inlineStr">
        <is>
          <t>iof</t>
        </is>
      </c>
      <c r="C17" s="75" t="n">
        <v>29.07</v>
      </c>
      <c r="D17" s="75" t="n">
        <v>0</v>
      </c>
      <c r="E17" s="75" t="n">
        <v>-229391.07</v>
      </c>
      <c r="F17" s="77" t="n"/>
      <c r="G17" s="78" t="n">
        <v>0</v>
      </c>
      <c r="H17" s="78" t="n">
        <v>1</v>
      </c>
      <c r="I17" s="79" t="n">
        <v>-0</v>
      </c>
      <c r="J17" s="79" t="n">
        <v>-229362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iof</t>
        </is>
      </c>
      <c r="P17" s="88" t="n">
        <v>0</v>
      </c>
      <c r="Q17" s="83" t="n">
        <v>0</v>
      </c>
      <c r="R17" s="91" t="n">
        <v>-229391.07</v>
      </c>
      <c r="S17" s="84" t="n">
        <v>-0</v>
      </c>
      <c r="T17" s="89" t="n">
        <v>-229362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28/06/2022</t>
        </is>
      </c>
      <c r="B18" s="74" t="inlineStr">
        <is>
          <t>seguro_penhor</t>
        </is>
      </c>
      <c r="C18" s="75" t="n">
        <v>2162.03</v>
      </c>
      <c r="D18" s="75" t="n">
        <v>0</v>
      </c>
      <c r="E18" s="75" t="n">
        <v>-229391.07</v>
      </c>
      <c r="F18" s="77" t="n"/>
      <c r="G18" s="78" t="n">
        <v>0</v>
      </c>
      <c r="H18" s="78" t="n">
        <v>1</v>
      </c>
      <c r="I18" s="79" t="n">
        <v>-0</v>
      </c>
      <c r="J18" s="79" t="n">
        <v>-229362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seguro_penhor</t>
        </is>
      </c>
      <c r="P18" s="88" t="n">
        <v>0</v>
      </c>
      <c r="Q18" s="83" t="n">
        <v>2162.03</v>
      </c>
      <c r="R18" s="91" t="n">
        <v>-229391.07</v>
      </c>
      <c r="S18" s="84" t="n">
        <v>-0</v>
      </c>
      <c r="T18" s="89" t="n">
        <v>-229362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28/06/2022</t>
        </is>
      </c>
      <c r="B19" s="74" t="inlineStr">
        <is>
          <t>amortizacao</t>
        </is>
      </c>
      <c r="C19" s="75" t="n">
        <v>0</v>
      </c>
      <c r="D19" s="75" t="n">
        <v>29.07</v>
      </c>
      <c r="E19" s="75" t="n">
        <v>-229362</v>
      </c>
      <c r="F19" s="77" t="n"/>
      <c r="G19" s="78" t="n">
        <v>3</v>
      </c>
      <c r="H19" s="78" t="n">
        <v>4</v>
      </c>
      <c r="I19" s="79" t="n">
        <v>-688085.9999999999</v>
      </c>
      <c r="J19" s="79" t="n">
        <v>-917447.9999999999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-229362</v>
      </c>
      <c r="S19" s="84" t="n">
        <v>-688085.9999999999</v>
      </c>
      <c r="T19" s="89" t="n">
        <v>-917447.9999999999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01/07/2022</t>
        </is>
      </c>
      <c r="B20" s="74" t="inlineStr">
        <is>
          <t>juros_encarg_add</t>
        </is>
      </c>
      <c r="C20" s="75" t="n">
        <v>135.57</v>
      </c>
      <c r="D20" s="75" t="n">
        <v>0</v>
      </c>
      <c r="E20" s="75" t="n">
        <v>-229362</v>
      </c>
      <c r="F20" s="77" t="n"/>
      <c r="G20" s="78" t="n">
        <v>31</v>
      </c>
      <c r="H20" s="78" t="n">
        <v>31</v>
      </c>
      <c r="I20" s="79" t="n">
        <v>-7110221.999999999</v>
      </c>
      <c r="J20" s="79" t="n">
        <v>-7110221.999999999</v>
      </c>
      <c r="K20" s="80" t="n">
        <v>-229362</v>
      </c>
      <c r="L20" s="80" t="n">
        <v>135.57</v>
      </c>
      <c r="M20" s="81" t="n">
        <v>0.05500045045192326</v>
      </c>
      <c r="N20" s="90" t="n">
        <v>0.00693246016846305</v>
      </c>
      <c r="O20" s="82" t="inlineStr">
        <is>
          <t>juros_encarg_add</t>
        </is>
      </c>
      <c r="P20" s="88" t="n">
        <v>0</v>
      </c>
      <c r="Q20" s="83" t="n">
        <v>135.57</v>
      </c>
      <c r="R20" s="91" t="n">
        <v>-229362</v>
      </c>
      <c r="S20" s="84" t="n">
        <v>-7110221.999999999</v>
      </c>
      <c r="T20" s="89" t="n">
        <v>-7110221.999999999</v>
      </c>
      <c r="U20" s="91" t="n">
        <v>-229362</v>
      </c>
      <c r="V20" s="91" t="n">
        <v>-1643.233776502518</v>
      </c>
      <c r="W20" s="75" t="n"/>
    </row>
    <row r="21">
      <c r="A21" s="142" t="inlineStr">
        <is>
          <t>01/08/2022</t>
        </is>
      </c>
      <c r="B21" s="74" t="inlineStr">
        <is>
          <t>juros_encarg_add</t>
        </is>
      </c>
      <c r="C21" s="75" t="n">
        <v>1055.82</v>
      </c>
      <c r="D21" s="75" t="n">
        <v>0</v>
      </c>
      <c r="E21" s="75" t="n">
        <v>-229362</v>
      </c>
      <c r="F21" s="77" t="n"/>
      <c r="G21" s="78" t="n">
        <v>31</v>
      </c>
      <c r="H21" s="78" t="n">
        <v>31</v>
      </c>
      <c r="I21" s="79" t="n">
        <v>-7110221.999999999</v>
      </c>
      <c r="J21" s="79" t="n">
        <v>-7110221.999999999</v>
      </c>
      <c r="K21" s="80" t="n">
        <v>-229362</v>
      </c>
      <c r="L21" s="80" t="n">
        <v>1055.82</v>
      </c>
      <c r="M21" s="81" t="n">
        <v>0.05499978688455487</v>
      </c>
      <c r="N21" s="90" t="n">
        <v>0.05499978688455487</v>
      </c>
      <c r="O21" s="82" t="inlineStr">
        <is>
          <t>juros_encarg_add</t>
        </is>
      </c>
      <c r="P21" s="88" t="n">
        <v>0</v>
      </c>
      <c r="Q21" s="83" t="n">
        <v>1055.82</v>
      </c>
      <c r="R21" s="91" t="n">
        <v>-229362</v>
      </c>
      <c r="S21" s="84" t="n">
        <v>-7110221.999999999</v>
      </c>
      <c r="T21" s="89" t="n">
        <v>-7110221.999999999</v>
      </c>
      <c r="U21" s="91" t="n">
        <v>-229362</v>
      </c>
      <c r="V21" s="91" t="n">
        <v>-13047.09930405119</v>
      </c>
      <c r="W21" s="75" t="n"/>
    </row>
    <row r="22">
      <c r="A22" s="142" t="inlineStr">
        <is>
          <t>01/09/2022</t>
        </is>
      </c>
      <c r="B22" s="74" t="inlineStr">
        <is>
          <t>juros_encarg_add</t>
        </is>
      </c>
      <c r="C22" s="75" t="n">
        <v>1060.64</v>
      </c>
      <c r="D22" s="75" t="n">
        <v>0</v>
      </c>
      <c r="E22" s="75" t="n">
        <v>-229362</v>
      </c>
      <c r="F22" s="77" t="n"/>
      <c r="G22" s="78" t="n">
        <v>30</v>
      </c>
      <c r="H22" s="78" t="n">
        <v>30</v>
      </c>
      <c r="I22" s="79" t="n">
        <v>-6880859.999999999</v>
      </c>
      <c r="J22" s="79" t="n">
        <v>-6880859.999999999</v>
      </c>
      <c r="K22" s="80" t="n">
        <v>-229362</v>
      </c>
      <c r="L22" s="80" t="n">
        <v>1060.64</v>
      </c>
      <c r="M22" s="81" t="n">
        <v>0.05500020970189401</v>
      </c>
      <c r="N22" s="90" t="n">
        <v>0.05688474853678716</v>
      </c>
      <c r="O22" s="82" t="inlineStr">
        <is>
          <t>juros_encarg_add</t>
        </is>
      </c>
      <c r="P22" s="88" t="n">
        <v>0</v>
      </c>
      <c r="Q22" s="83" t="n">
        <v>1060.64</v>
      </c>
      <c r="R22" s="91" t="n">
        <v>-229362</v>
      </c>
      <c r="S22" s="84" t="n">
        <v>-6880859.999999999</v>
      </c>
      <c r="T22" s="89" t="n">
        <v>-6880859.999999999</v>
      </c>
      <c r="U22" s="91" t="n">
        <v>-229362</v>
      </c>
      <c r="V22" s="91" t="n">
        <v>-13047.19969389457</v>
      </c>
      <c r="W22" s="75" t="n"/>
    </row>
    <row r="23">
      <c r="A23" s="142" t="inlineStr">
        <is>
          <t>01/10/2022</t>
        </is>
      </c>
      <c r="B23" s="74" t="inlineStr">
        <is>
          <t>juros_encarg_add</t>
        </is>
      </c>
      <c r="C23" s="75" t="n">
        <v>1031.02</v>
      </c>
      <c r="D23" s="75" t="n">
        <v>0</v>
      </c>
      <c r="E23" s="75" t="n">
        <v>-229362</v>
      </c>
      <c r="F23" s="77" t="n"/>
      <c r="G23" s="78" t="n">
        <v>31</v>
      </c>
      <c r="H23" s="78" t="n">
        <v>31</v>
      </c>
      <c r="I23" s="79" t="n">
        <v>-7110221.999999999</v>
      </c>
      <c r="J23" s="79" t="n">
        <v>-7110221.999999999</v>
      </c>
      <c r="K23" s="80" t="n">
        <v>-229362</v>
      </c>
      <c r="L23" s="80" t="n">
        <v>1031.02</v>
      </c>
      <c r="M23" s="81" t="n">
        <v>0.0549997593960454</v>
      </c>
      <c r="N23" s="90" t="n">
        <v>0.05317922696216004</v>
      </c>
      <c r="O23" s="82" t="inlineStr">
        <is>
          <t>juros_encarg_add</t>
        </is>
      </c>
      <c r="P23" s="88" t="n">
        <v>0</v>
      </c>
      <c r="Q23" s="83" t="n">
        <v>1031.02</v>
      </c>
      <c r="R23" s="91" t="n">
        <v>-229362</v>
      </c>
      <c r="S23" s="84" t="n">
        <v>-7110221.999999999</v>
      </c>
      <c r="T23" s="89" t="n">
        <v>-7110221.999999999</v>
      </c>
      <c r="U23" s="91" t="n">
        <v>-229362</v>
      </c>
      <c r="V23" s="91" t="n">
        <v>-12614.85481459576</v>
      </c>
      <c r="W23" s="75" t="n"/>
    </row>
    <row r="24">
      <c r="A24" s="142" t="inlineStr">
        <is>
          <t>01/11/2022</t>
        </is>
      </c>
      <c r="B24" s="74" t="inlineStr">
        <is>
          <t>juros_encarg_add</t>
        </is>
      </c>
      <c r="C24" s="75" t="n">
        <v>1070.17</v>
      </c>
      <c r="D24" s="75" t="n">
        <v>0</v>
      </c>
      <c r="E24" s="75" t="n">
        <v>-229362</v>
      </c>
      <c r="F24" s="77" t="n"/>
      <c r="G24" s="78" t="n">
        <v>30</v>
      </c>
      <c r="H24" s="78" t="n">
        <v>30</v>
      </c>
      <c r="I24" s="79" t="n">
        <v>-6880859.999999999</v>
      </c>
      <c r="J24" s="79" t="n">
        <v>-6880859.999999999</v>
      </c>
      <c r="K24" s="80" t="n">
        <v>-229362</v>
      </c>
      <c r="L24" s="80" t="n">
        <v>1070.17</v>
      </c>
      <c r="M24" s="81" t="n">
        <v>0.05500004670032466</v>
      </c>
      <c r="N24" s="90" t="n">
        <v>0.05688457980095873</v>
      </c>
      <c r="O24" s="82" t="inlineStr">
        <is>
          <t>juros_encarg_add</t>
        </is>
      </c>
      <c r="P24" s="88" t="n">
        <v>0</v>
      </c>
      <c r="Q24" s="83" t="n">
        <v>1070.17</v>
      </c>
      <c r="R24" s="91" t="n">
        <v>-229362</v>
      </c>
      <c r="S24" s="84" t="n">
        <v>-6880859.999999999</v>
      </c>
      <c r="T24" s="89" t="n">
        <v>-6880859.999999999</v>
      </c>
      <c r="U24" s="91" t="n">
        <v>-229362</v>
      </c>
      <c r="V24" s="91" t="n">
        <v>-13047.1609923075</v>
      </c>
      <c r="W24" s="75" t="n"/>
    </row>
    <row r="25">
      <c r="A25" s="142" t="inlineStr">
        <is>
          <t>01/12/2022</t>
        </is>
      </c>
      <c r="B25" s="74" t="inlineStr">
        <is>
          <t>juros_encarg_add</t>
        </is>
      </c>
      <c r="C25" s="75" t="n">
        <v>1040.29</v>
      </c>
      <c r="D25" s="75" t="n">
        <v>0</v>
      </c>
      <c r="E25" s="75" t="n">
        <v>-229362</v>
      </c>
      <c r="F25" s="77" t="n"/>
      <c r="G25" s="78" t="n">
        <v>31</v>
      </c>
      <c r="H25" s="78" t="n">
        <v>31</v>
      </c>
      <c r="I25" s="79" t="n">
        <v>-7110221.999999999</v>
      </c>
      <c r="J25" s="79" t="n">
        <v>-7110221.999999999</v>
      </c>
      <c r="K25" s="80" t="n">
        <v>-229362</v>
      </c>
      <c r="L25" s="80" t="n">
        <v>1040.29</v>
      </c>
      <c r="M25" s="81" t="n">
        <v>0.05499992977268486</v>
      </c>
      <c r="N25" s="90" t="n">
        <v>0.05317939155825657</v>
      </c>
      <c r="O25" s="82" t="inlineStr">
        <is>
          <t>juros_encarg_add</t>
        </is>
      </c>
      <c r="P25" s="88" t="n">
        <v>0</v>
      </c>
      <c r="Q25" s="83" t="n">
        <v>1040.29</v>
      </c>
      <c r="R25" s="91" t="n">
        <v>-229362</v>
      </c>
      <c r="S25" s="84" t="n">
        <v>-7110221.999999999</v>
      </c>
      <c r="T25" s="89" t="n">
        <v>-7110221.999999999</v>
      </c>
      <c r="U25" s="91" t="n">
        <v>-229362</v>
      </c>
      <c r="V25" s="91" t="n">
        <v>-12614.89389252254</v>
      </c>
      <c r="W25" s="75" t="n"/>
    </row>
    <row r="26">
      <c r="A26" s="142" t="inlineStr">
        <is>
          <t>01/01/2023</t>
        </is>
      </c>
      <c r="B26" s="74" t="inlineStr">
        <is>
          <t>juros_encarg_add</t>
        </is>
      </c>
      <c r="C26" s="75" t="n">
        <v>1079.79</v>
      </c>
      <c r="D26" s="75" t="n">
        <v>0</v>
      </c>
      <c r="E26" s="75" t="n">
        <v>-229362</v>
      </c>
      <c r="F26" s="77" t="n"/>
      <c r="G26" s="78" t="n">
        <v>31</v>
      </c>
      <c r="H26" s="78" t="n">
        <v>31</v>
      </c>
      <c r="I26" s="79" t="n">
        <v>-7110221.999999999</v>
      </c>
      <c r="J26" s="79" t="n">
        <v>-7110221.999999999</v>
      </c>
      <c r="K26" s="80" t="n">
        <v>-229362</v>
      </c>
      <c r="L26" s="80" t="n">
        <v>1079.79</v>
      </c>
      <c r="M26" s="81" t="n">
        <v>0.05500011185757292</v>
      </c>
      <c r="N26" s="90" t="n">
        <v>0.05500011185757292</v>
      </c>
      <c r="O26" s="82" t="inlineStr">
        <is>
          <t>juros_encarg_add</t>
        </is>
      </c>
      <c r="P26" s="88" t="n">
        <v>0</v>
      </c>
      <c r="Q26" s="83" t="n">
        <v>1079.79</v>
      </c>
      <c r="R26" s="91" t="n">
        <v>-229362</v>
      </c>
      <c r="S26" s="84" t="n">
        <v>-7110221.999999999</v>
      </c>
      <c r="T26" s="89" t="n">
        <v>-7110221.999999999</v>
      </c>
      <c r="U26" s="91" t="n">
        <v>-229362</v>
      </c>
      <c r="V26" s="91" t="n">
        <v>-13047.17646264265</v>
      </c>
      <c r="W26" s="75" t="n"/>
    </row>
    <row r="27">
      <c r="A27" s="142" t="inlineStr">
        <is>
          <t>01/02/2023</t>
        </is>
      </c>
      <c r="B27" s="74" t="inlineStr">
        <is>
          <t>juros_encarg_add</t>
        </is>
      </c>
      <c r="C27" s="75" t="n">
        <v>1084.71</v>
      </c>
      <c r="D27" s="75" t="n">
        <v>0</v>
      </c>
      <c r="E27" s="75" t="n">
        <v>-229362</v>
      </c>
      <c r="F27" s="77" t="n"/>
      <c r="G27" s="78" t="n">
        <v>28</v>
      </c>
      <c r="H27" s="78" t="n">
        <v>28</v>
      </c>
      <c r="I27" s="79" t="n">
        <v>-6422135.999999999</v>
      </c>
      <c r="J27" s="79" t="n">
        <v>-6422135.999999999</v>
      </c>
      <c r="K27" s="80" t="n">
        <v>-229362</v>
      </c>
      <c r="L27" s="80" t="n">
        <v>1084.71</v>
      </c>
      <c r="M27" s="81" t="n">
        <v>0.05500004340353337</v>
      </c>
      <c r="N27" s="90" t="n">
        <v>0.06106945913952022</v>
      </c>
      <c r="O27" s="82" t="inlineStr">
        <is>
          <t>juros_encarg_add</t>
        </is>
      </c>
      <c r="P27" s="88" t="n">
        <v>0</v>
      </c>
      <c r="Q27" s="83" t="n">
        <v>1084.71</v>
      </c>
      <c r="R27" s="91" t="n">
        <v>-229362</v>
      </c>
      <c r="S27" s="84" t="n">
        <v>-6422135.999999999</v>
      </c>
      <c r="T27" s="89" t="n">
        <v>-6422135.999999999</v>
      </c>
      <c r="U27" s="91" t="n">
        <v>-229362</v>
      </c>
      <c r="V27" s="91" t="n">
        <v>-13047.16020954778</v>
      </c>
      <c r="W27" s="75" t="n"/>
    </row>
    <row r="28">
      <c r="A28" s="142" t="inlineStr">
        <is>
          <t>01/03/2023</t>
        </is>
      </c>
      <c r="B28" s="74" t="inlineStr">
        <is>
          <t>juros_encarg_add</t>
        </is>
      </c>
      <c r="C28" s="75" t="n">
        <v>983.99</v>
      </c>
      <c r="D28" s="75" t="n">
        <v>0</v>
      </c>
      <c r="E28" s="75" t="n">
        <v>-229362</v>
      </c>
      <c r="F28" s="77" t="n"/>
      <c r="G28" s="78" t="n">
        <v>31</v>
      </c>
      <c r="H28" s="78" t="n">
        <v>31</v>
      </c>
      <c r="I28" s="79" t="n">
        <v>-7110221.999999999</v>
      </c>
      <c r="J28" s="79" t="n">
        <v>-7110221.999999999</v>
      </c>
      <c r="K28" s="80" t="n">
        <v>-229362</v>
      </c>
      <c r="L28" s="80" t="n">
        <v>983.99</v>
      </c>
      <c r="M28" s="81" t="n">
        <v>0.05500023322695879</v>
      </c>
      <c r="N28" s="90" t="n">
        <v>0.04954800709873752</v>
      </c>
      <c r="O28" s="82" t="inlineStr">
        <is>
          <t>juros_encarg_add</t>
        </is>
      </c>
      <c r="P28" s="88" t="n">
        <v>0</v>
      </c>
      <c r="Q28" s="83" t="n">
        <v>983.99</v>
      </c>
      <c r="R28" s="91" t="n">
        <v>-229362</v>
      </c>
      <c r="S28" s="84" t="n">
        <v>-7110221.999999999</v>
      </c>
      <c r="T28" s="89" t="n">
        <v>-7110221.999999999</v>
      </c>
      <c r="U28" s="91" t="n">
        <v>-229362</v>
      </c>
      <c r="V28" s="91" t="n">
        <v>-11752.790748288</v>
      </c>
      <c r="W28" s="75" t="n"/>
    </row>
    <row r="29">
      <c r="A29" s="142" t="inlineStr">
        <is>
          <t>01/04/2023</t>
        </is>
      </c>
      <c r="B29" s="74" t="inlineStr">
        <is>
          <t>juros_encarg_add</t>
        </is>
      </c>
      <c r="C29" s="75" t="n">
        <v>1094.14</v>
      </c>
      <c r="D29" s="75" t="n">
        <v>0</v>
      </c>
      <c r="E29" s="75" t="n">
        <v>-229362</v>
      </c>
      <c r="F29" s="77" t="n"/>
      <c r="G29" s="78" t="n">
        <v>30</v>
      </c>
      <c r="H29" s="78" t="n">
        <v>30</v>
      </c>
      <c r="I29" s="79" t="n">
        <v>-6880859.999999999</v>
      </c>
      <c r="J29" s="79" t="n">
        <v>-6880859.999999999</v>
      </c>
      <c r="K29" s="80" t="n">
        <v>-229362</v>
      </c>
      <c r="L29" s="80" t="n">
        <v>1094.14</v>
      </c>
      <c r="M29" s="81" t="n">
        <v>0.05500012461564552</v>
      </c>
      <c r="N29" s="90" t="n">
        <v>0.05688466045727547</v>
      </c>
      <c r="O29" s="82" t="inlineStr">
        <is>
          <t>juros_encarg_add</t>
        </is>
      </c>
      <c r="P29" s="88" t="n">
        <v>0</v>
      </c>
      <c r="Q29" s="83" t="n">
        <v>1094.14</v>
      </c>
      <c r="R29" s="91" t="n">
        <v>-229362</v>
      </c>
      <c r="S29" s="84" t="n">
        <v>-6880859.999999999</v>
      </c>
      <c r="T29" s="89" t="n">
        <v>-6880859.999999999</v>
      </c>
      <c r="U29" s="91" t="n">
        <v>-229362</v>
      </c>
      <c r="V29" s="91" t="n">
        <v>-13047.17949180161</v>
      </c>
      <c r="W29" s="75" t="n"/>
    </row>
    <row r="30">
      <c r="A30" s="142" t="inlineStr">
        <is>
          <t>01/05/2023</t>
        </is>
      </c>
      <c r="B30" s="74" t="inlineStr">
        <is>
          <t>juros_encarg_add</t>
        </is>
      </c>
      <c r="C30" s="75" t="n">
        <v>1063.59</v>
      </c>
      <c r="D30" s="75" t="n">
        <v>0</v>
      </c>
      <c r="E30" s="75" t="n">
        <v>-229362</v>
      </c>
      <c r="F30" s="77" t="n"/>
      <c r="G30" s="78" t="n">
        <v>31</v>
      </c>
      <c r="H30" s="78" t="n">
        <v>31</v>
      </c>
      <c r="I30" s="79" t="n">
        <v>-7110221.999999999</v>
      </c>
      <c r="J30" s="79" t="n">
        <v>-7110221.999999999</v>
      </c>
      <c r="K30" s="80" t="n">
        <v>-229362</v>
      </c>
      <c r="L30" s="80" t="n">
        <v>1063.59</v>
      </c>
      <c r="M30" s="81" t="n">
        <v>0.05499996820671549</v>
      </c>
      <c r="N30" s="90" t="n">
        <v>0.0531794286882965</v>
      </c>
      <c r="O30" s="82" t="inlineStr">
        <is>
          <t>juros_encarg_add</t>
        </is>
      </c>
      <c r="P30" s="88" t="n">
        <v>0</v>
      </c>
      <c r="Q30" s="83" t="n">
        <v>1063.59</v>
      </c>
      <c r="R30" s="91" t="n">
        <v>-229362</v>
      </c>
      <c r="S30" s="84" t="n">
        <v>-7110221.999999999</v>
      </c>
      <c r="T30" s="89" t="n">
        <v>-7110221.999999999</v>
      </c>
      <c r="U30" s="91" t="n">
        <v>-229362</v>
      </c>
      <c r="V30" s="91" t="n">
        <v>-12614.90270782868</v>
      </c>
      <c r="W30" s="75" t="n"/>
    </row>
    <row r="31">
      <c r="A31" s="142" t="inlineStr">
        <is>
          <t>01/06/2023</t>
        </is>
      </c>
      <c r="B31" s="74" t="inlineStr">
        <is>
          <t>juros_encarg_add</t>
        </is>
      </c>
      <c r="C31" s="75" t="n">
        <v>1103.97</v>
      </c>
      <c r="D31" s="75" t="n">
        <v>0</v>
      </c>
      <c r="E31" s="75" t="n">
        <v>-229362</v>
      </c>
      <c r="F31" s="77" t="n"/>
      <c r="G31" s="78" t="n">
        <v>25</v>
      </c>
      <c r="H31" s="78" t="n">
        <v>25</v>
      </c>
      <c r="I31" s="79" t="n">
        <v>-5734049.999999999</v>
      </c>
      <c r="J31" s="79" t="n">
        <v>-5734049.999999999</v>
      </c>
      <c r="K31" s="80" t="n">
        <v>-229362</v>
      </c>
      <c r="L31" s="80" t="n">
        <v>1103.97</v>
      </c>
      <c r="M31" s="81" t="n">
        <v>0.0549999099204117</v>
      </c>
      <c r="N31" s="90" t="n">
        <v>0.06864388250443998</v>
      </c>
      <c r="O31" s="82" t="inlineStr">
        <is>
          <t>juros_encarg_add</t>
        </is>
      </c>
      <c r="P31" s="88" t="n">
        <v>0</v>
      </c>
      <c r="Q31" s="83" t="n">
        <v>1103.97</v>
      </c>
      <c r="R31" s="91" t="n">
        <v>-229362</v>
      </c>
      <c r="S31" s="84" t="n">
        <v>-5734049.999999999</v>
      </c>
      <c r="T31" s="89" t="n">
        <v>-5734049.999999999</v>
      </c>
      <c r="U31" s="91" t="n">
        <v>-229362</v>
      </c>
      <c r="V31" s="91" t="n">
        <v>-13047.1285165484</v>
      </c>
      <c r="W31" s="75" t="n"/>
    </row>
    <row r="32">
      <c r="A32" s="142" t="inlineStr">
        <is>
          <t>26/06/2023</t>
        </is>
      </c>
      <c r="B32" s="74" t="inlineStr">
        <is>
          <t>iof</t>
        </is>
      </c>
      <c r="C32" s="75" t="n">
        <v>19.98</v>
      </c>
      <c r="D32" s="75" t="n">
        <v>0</v>
      </c>
      <c r="E32" s="75" t="n">
        <v>-229381.98</v>
      </c>
      <c r="F32" s="77" t="n"/>
      <c r="G32" s="78" t="n">
        <v>0</v>
      </c>
      <c r="H32" s="78" t="n">
        <v>25</v>
      </c>
      <c r="I32" s="79" t="n">
        <v>-0</v>
      </c>
      <c r="J32" s="79" t="n">
        <v>-5734049.999999999</v>
      </c>
      <c r="K32" s="80" t="n">
        <v>0</v>
      </c>
      <c r="L32" s="80" t="n">
        <v>0</v>
      </c>
      <c r="M32" s="81" t="n">
        <v>0</v>
      </c>
      <c r="N32" s="90" t="n">
        <v>0</v>
      </c>
      <c r="O32" s="82" t="inlineStr">
        <is>
          <t>iof</t>
        </is>
      </c>
      <c r="P32" s="88" t="n">
        <v>0</v>
      </c>
      <c r="Q32" s="83" t="n">
        <v>0</v>
      </c>
      <c r="R32" s="91" t="n">
        <v>-229381.98</v>
      </c>
      <c r="S32" s="84" t="n">
        <v>-0</v>
      </c>
      <c r="T32" s="89" t="n">
        <v>-5734049.999999999</v>
      </c>
      <c r="U32" s="91" t="n">
        <v>0</v>
      </c>
      <c r="V32" s="91" t="n">
        <v>0</v>
      </c>
      <c r="W32" s="75" t="n"/>
    </row>
    <row r="33">
      <c r="A33" s="142" t="inlineStr">
        <is>
          <t>26/06/2023</t>
        </is>
      </c>
      <c r="B33" s="74" t="inlineStr">
        <is>
          <t>amortizacao</t>
        </is>
      </c>
      <c r="C33" s="75" t="n">
        <v>0</v>
      </c>
      <c r="D33" s="75" t="n">
        <v>19.98</v>
      </c>
      <c r="E33" s="75" t="n">
        <v>-229362</v>
      </c>
      <c r="F33" s="77" t="n"/>
      <c r="G33" s="78" t="n">
        <v>5</v>
      </c>
      <c r="H33" s="78" t="n">
        <v>30</v>
      </c>
      <c r="I33" s="79" t="n">
        <v>-1146810</v>
      </c>
      <c r="J33" s="79" t="n">
        <v>-6880859.999999999</v>
      </c>
      <c r="K33" s="80" t="n">
        <v>0</v>
      </c>
      <c r="L33" s="80" t="n">
        <v>0</v>
      </c>
      <c r="M33" s="81" t="n">
        <v>0</v>
      </c>
      <c r="N33" s="90" t="n">
        <v>0</v>
      </c>
      <c r="O33" s="82" t="inlineStr">
        <is>
          <t>amortizacao</t>
        </is>
      </c>
      <c r="P33" s="88" t="n">
        <v>0</v>
      </c>
      <c r="Q33" s="83" t="n">
        <v>0</v>
      </c>
      <c r="R33" s="91" t="n">
        <v>-229362</v>
      </c>
      <c r="S33" s="84" t="n">
        <v>-1146810</v>
      </c>
      <c r="T33" s="89" t="n">
        <v>-6880859.999999999</v>
      </c>
      <c r="U33" s="91" t="n">
        <v>0</v>
      </c>
      <c r="V33" s="91" t="n">
        <v>0</v>
      </c>
      <c r="W33" s="75" t="n"/>
    </row>
    <row r="34">
      <c r="A34" s="142" t="inlineStr">
        <is>
          <t>01/07/2023</t>
        </is>
      </c>
      <c r="B34" s="74" t="inlineStr">
        <is>
          <t>juros_encarg_add</t>
        </is>
      </c>
      <c r="C34" s="75" t="n">
        <v>1073.15</v>
      </c>
      <c r="D34" s="75" t="n">
        <v>0</v>
      </c>
      <c r="E34" s="75" t="n">
        <v>-229362</v>
      </c>
      <c r="F34" s="77" t="n"/>
      <c r="G34" s="78" t="n">
        <v>3</v>
      </c>
      <c r="H34" s="78" t="n">
        <v>3</v>
      </c>
      <c r="I34" s="79" t="n">
        <v>-688085.9999999999</v>
      </c>
      <c r="J34" s="79" t="n">
        <v>-688085.9999999999</v>
      </c>
      <c r="K34" s="80" t="n">
        <v>-229362</v>
      </c>
      <c r="L34" s="80" t="n">
        <v>1073.15</v>
      </c>
      <c r="M34" s="81" t="n">
        <v>0.05499998913195281</v>
      </c>
      <c r="N34" s="90" t="n">
        <v>0.7081442823896729</v>
      </c>
      <c r="O34" s="82" t="inlineStr">
        <is>
          <t>juros_encarg_add</t>
        </is>
      </c>
      <c r="P34" s="88" t="n">
        <v>0</v>
      </c>
      <c r="Q34" s="83" t="n">
        <v>1073.15</v>
      </c>
      <c r="R34" s="91" t="n">
        <v>-229362</v>
      </c>
      <c r="S34" s="84" t="n">
        <v>-688085.9999999999</v>
      </c>
      <c r="T34" s="89" t="n">
        <v>-688085.9999999999</v>
      </c>
      <c r="U34" s="91" t="n">
        <v>-229362</v>
      </c>
      <c r="V34" s="91" t="n">
        <v>-12614.90750728296</v>
      </c>
      <c r="W34" s="75" t="n"/>
    </row>
    <row r="35">
      <c r="A35" s="142" t="inlineStr">
        <is>
          <t>04/07/2023</t>
        </is>
      </c>
      <c r="B35" s="74" t="inlineStr">
        <is>
          <t>iof</t>
        </is>
      </c>
      <c r="C35" s="75" t="n">
        <v>7.34</v>
      </c>
      <c r="D35" s="75" t="n">
        <v>0</v>
      </c>
      <c r="E35" s="75" t="n">
        <v>-229369.34</v>
      </c>
      <c r="F35" s="77" t="n"/>
      <c r="G35" s="78" t="n">
        <v>0</v>
      </c>
      <c r="H35" s="78" t="n">
        <v>3</v>
      </c>
      <c r="I35" s="79" t="n">
        <v>-0</v>
      </c>
      <c r="J35" s="79" t="n">
        <v>-688085.9999999999</v>
      </c>
      <c r="K35" s="80" t="n">
        <v>0</v>
      </c>
      <c r="L35" s="80" t="n">
        <v>0</v>
      </c>
      <c r="M35" s="81" t="n">
        <v>0</v>
      </c>
      <c r="N35" s="90" t="n">
        <v>0</v>
      </c>
      <c r="O35" s="82" t="inlineStr">
        <is>
          <t>iof</t>
        </is>
      </c>
      <c r="P35" s="88" t="n">
        <v>0</v>
      </c>
      <c r="Q35" s="83" t="n">
        <v>0</v>
      </c>
      <c r="R35" s="91" t="n">
        <v>-229369.34</v>
      </c>
      <c r="S35" s="84" t="n">
        <v>-0</v>
      </c>
      <c r="T35" s="89" t="n">
        <v>-688085.9999999999</v>
      </c>
      <c r="U35" s="91" t="n">
        <v>0</v>
      </c>
      <c r="V35" s="91" t="n">
        <v>0</v>
      </c>
      <c r="W35" s="75" t="n"/>
    </row>
    <row r="36">
      <c r="A36" s="142" t="inlineStr">
        <is>
          <t>04/07/2023</t>
        </is>
      </c>
      <c r="B36" s="74" t="inlineStr">
        <is>
          <t>seguro_penhor</t>
        </is>
      </c>
      <c r="C36" s="75" t="n">
        <v>1931.02</v>
      </c>
      <c r="D36" s="75" t="n">
        <v>0</v>
      </c>
      <c r="E36" s="75" t="n">
        <v>-229369.34</v>
      </c>
      <c r="F36" s="77" t="n"/>
      <c r="G36" s="78" t="n">
        <v>0</v>
      </c>
      <c r="H36" s="78" t="n">
        <v>3</v>
      </c>
      <c r="I36" s="79" t="n">
        <v>-0</v>
      </c>
      <c r="J36" s="79" t="n">
        <v>-688085.9999999999</v>
      </c>
      <c r="K36" s="80" t="n">
        <v>0</v>
      </c>
      <c r="L36" s="80" t="n">
        <v>0</v>
      </c>
      <c r="M36" s="81" t="n">
        <v>0</v>
      </c>
      <c r="N36" s="90" t="n">
        <v>0</v>
      </c>
      <c r="O36" s="82" t="inlineStr">
        <is>
          <t>seguro_penhor</t>
        </is>
      </c>
      <c r="P36" s="88" t="n">
        <v>0</v>
      </c>
      <c r="Q36" s="83" t="n">
        <v>1931.02</v>
      </c>
      <c r="R36" s="91" t="n">
        <v>-229369.34</v>
      </c>
      <c r="S36" s="84" t="n">
        <v>-0</v>
      </c>
      <c r="T36" s="89" t="n">
        <v>-688085.9999999999</v>
      </c>
      <c r="U36" s="91" t="n">
        <v>0</v>
      </c>
      <c r="V36" s="91" t="n">
        <v>0</v>
      </c>
      <c r="W36" s="75" t="n"/>
    </row>
    <row r="37">
      <c r="A37" s="142" t="inlineStr">
        <is>
          <t>04/07/2023</t>
        </is>
      </c>
      <c r="B37" s="74" t="inlineStr">
        <is>
          <t>amortizacao</t>
        </is>
      </c>
      <c r="C37" s="75" t="n">
        <v>0</v>
      </c>
      <c r="D37" s="75" t="n">
        <v>7.34</v>
      </c>
      <c r="E37" s="75" t="n">
        <v>-229362</v>
      </c>
      <c r="F37" s="77" t="n"/>
      <c r="G37" s="78" t="n">
        <v>28</v>
      </c>
      <c r="H37" s="78" t="n">
        <v>31</v>
      </c>
      <c r="I37" s="79" t="n">
        <v>-6422135.999999999</v>
      </c>
      <c r="J37" s="79" t="n">
        <v>-7110221.999999999</v>
      </c>
      <c r="K37" s="80" t="n">
        <v>0</v>
      </c>
      <c r="L37" s="80" t="n">
        <v>0</v>
      </c>
      <c r="M37" s="81" t="n">
        <v>0</v>
      </c>
      <c r="N37" s="90" t="n">
        <v>0</v>
      </c>
      <c r="O37" s="82" t="inlineStr">
        <is>
          <t>amortizacao</t>
        </is>
      </c>
      <c r="P37" s="88" t="n">
        <v>0</v>
      </c>
      <c r="Q37" s="83" t="n">
        <v>0</v>
      </c>
      <c r="R37" s="91" t="n">
        <v>-229362</v>
      </c>
      <c r="S37" s="84" t="n">
        <v>-6422135.999999999</v>
      </c>
      <c r="T37" s="89" t="n">
        <v>-7110221.999999999</v>
      </c>
      <c r="U37" s="91" t="n">
        <v>0</v>
      </c>
      <c r="V37" s="91" t="n">
        <v>0</v>
      </c>
      <c r="W37" s="75" t="n"/>
    </row>
    <row r="38">
      <c r="A38" s="142" t="inlineStr">
        <is>
          <t>01/08/2023</t>
        </is>
      </c>
      <c r="B38" s="74" t="inlineStr">
        <is>
          <t>juros_encarg_add</t>
        </is>
      </c>
      <c r="C38" s="75" t="n">
        <v>1121.84</v>
      </c>
      <c r="D38" s="75" t="n">
        <v>0</v>
      </c>
      <c r="E38" s="75" t="n">
        <v>-229362</v>
      </c>
      <c r="F38" s="77" t="n"/>
      <c r="G38" s="78" t="n">
        <v>31</v>
      </c>
      <c r="H38" s="78" t="n">
        <v>31</v>
      </c>
      <c r="I38" s="79" t="n">
        <v>-7110221.999999999</v>
      </c>
      <c r="J38" s="79" t="n">
        <v>-7110221.999999999</v>
      </c>
      <c r="K38" s="80" t="n">
        <v>-229362</v>
      </c>
      <c r="L38" s="80" t="n">
        <v>1121.84</v>
      </c>
      <c r="M38" s="81" t="n">
        <v>0.05499982226529188</v>
      </c>
      <c r="N38" s="90" t="n">
        <v>0.05499982226529188</v>
      </c>
      <c r="O38" s="82" t="inlineStr">
        <is>
          <t>juros_encarg_add</t>
        </is>
      </c>
      <c r="P38" s="88" t="n">
        <v>0</v>
      </c>
      <c r="Q38" s="83" t="n">
        <v>1121.84</v>
      </c>
      <c r="R38" s="91" t="n">
        <v>-229362</v>
      </c>
      <c r="S38" s="84" t="n">
        <v>-7110221.999999999</v>
      </c>
      <c r="T38" s="89" t="n">
        <v>-7110221.999999999</v>
      </c>
      <c r="U38" s="91" t="n">
        <v>-229362</v>
      </c>
      <c r="V38" s="91" t="n">
        <v>-13047.1077045265</v>
      </c>
      <c r="W38" s="75" t="n"/>
    </row>
    <row r="39">
      <c r="A39" s="142" t="inlineStr">
        <is>
          <t>01/09/2023</t>
        </is>
      </c>
      <c r="B39" s="74" t="inlineStr">
        <is>
          <t>juros_encarg_add</t>
        </is>
      </c>
      <c r="C39" s="75" t="n">
        <v>1127.81</v>
      </c>
      <c r="D39" s="75" t="n">
        <v>0</v>
      </c>
      <c r="E39" s="75" t="n">
        <v>-229362</v>
      </c>
      <c r="F39" s="77" t="n"/>
      <c r="G39" s="78" t="n">
        <v>30</v>
      </c>
      <c r="H39" s="78" t="n">
        <v>30</v>
      </c>
      <c r="I39" s="79" t="n">
        <v>-6880859.999999999</v>
      </c>
      <c r="J39" s="79" t="n">
        <v>-6880859.999999999</v>
      </c>
      <c r="K39" s="80" t="n">
        <v>-229362</v>
      </c>
      <c r="L39" s="80" t="n">
        <v>1127.81</v>
      </c>
      <c r="M39" s="81" t="n">
        <v>0.05500009010599483</v>
      </c>
      <c r="N39" s="90" t="n">
        <v>0.05688462473360389</v>
      </c>
      <c r="O39" s="82" t="inlineStr">
        <is>
          <t>juros_encarg_add</t>
        </is>
      </c>
      <c r="P39" s="88" t="n">
        <v>0</v>
      </c>
      <c r="Q39" s="83" t="n">
        <v>1127.81</v>
      </c>
      <c r="R39" s="91" t="n">
        <v>-229362</v>
      </c>
      <c r="S39" s="84" t="n">
        <v>-6880859.999999999</v>
      </c>
      <c r="T39" s="89" t="n">
        <v>-6880859.999999999</v>
      </c>
      <c r="U39" s="91" t="n">
        <v>-229362</v>
      </c>
      <c r="V39" s="91" t="n">
        <v>-13047.17129814885</v>
      </c>
      <c r="W39" s="75" t="n"/>
    </row>
    <row r="40">
      <c r="A40" s="142" t="inlineStr">
        <is>
          <t>01/10/2023</t>
        </is>
      </c>
      <c r="B40" s="74" t="inlineStr">
        <is>
          <t>juros_encarg_add</t>
        </is>
      </c>
      <c r="C40" s="75" t="n">
        <v>1096.32</v>
      </c>
      <c r="D40" s="75" t="n">
        <v>0</v>
      </c>
      <c r="E40" s="75" t="n">
        <v>-229362</v>
      </c>
      <c r="F40" s="77" t="n"/>
      <c r="G40" s="78" t="n">
        <v>31</v>
      </c>
      <c r="H40" s="78" t="n">
        <v>31</v>
      </c>
      <c r="I40" s="79" t="n">
        <v>-7110221.999999999</v>
      </c>
      <c r="J40" s="79" t="n">
        <v>-7110221.999999999</v>
      </c>
      <c r="K40" s="80" t="n">
        <v>-229362</v>
      </c>
      <c r="L40" s="80" t="n">
        <v>1096.32</v>
      </c>
      <c r="M40" s="81" t="n">
        <v>0.05499993981377571</v>
      </c>
      <c r="N40" s="90" t="n">
        <v>0.05317940125867326</v>
      </c>
      <c r="O40" s="82" t="inlineStr">
        <is>
          <t>juros_encarg_add</t>
        </is>
      </c>
      <c r="P40" s="88" t="n">
        <v>0</v>
      </c>
      <c r="Q40" s="83" t="n">
        <v>1096.32</v>
      </c>
      <c r="R40" s="91" t="n">
        <v>-229362</v>
      </c>
      <c r="S40" s="84" t="n">
        <v>-7110221.999999999</v>
      </c>
      <c r="T40" s="89" t="n">
        <v>-7110221.999999999</v>
      </c>
      <c r="U40" s="91" t="n">
        <v>-229362</v>
      </c>
      <c r="V40" s="91" t="n">
        <v>-12614.89619556722</v>
      </c>
      <c r="W40" s="75" t="n"/>
    </row>
    <row r="41">
      <c r="A41" s="142" t="inlineStr">
        <is>
          <t>01/11/2023</t>
        </is>
      </c>
      <c r="B41" s="74" t="inlineStr">
        <is>
          <t>juros_encarg_add</t>
        </is>
      </c>
      <c r="C41" s="75" t="n">
        <v>1137.95</v>
      </c>
      <c r="D41" s="75" t="n">
        <v>0</v>
      </c>
      <c r="E41" s="75" t="n">
        <v>-229362</v>
      </c>
      <c r="F41" s="77" t="n"/>
      <c r="G41" s="78" t="n">
        <v>30</v>
      </c>
      <c r="H41" s="78" t="n">
        <v>30</v>
      </c>
      <c r="I41" s="79" t="n">
        <v>-6880859.999999999</v>
      </c>
      <c r="J41" s="79" t="n">
        <v>-6880859.999999999</v>
      </c>
      <c r="K41" s="80" t="n">
        <v>-229362</v>
      </c>
      <c r="L41" s="80" t="n">
        <v>1137.95</v>
      </c>
      <c r="M41" s="81" t="n">
        <v>0.05500024718984475</v>
      </c>
      <c r="N41" s="90" t="n">
        <v>0.05688478734353297</v>
      </c>
      <c r="O41" s="82" t="inlineStr">
        <is>
          <t>juros_encarg_add</t>
        </is>
      </c>
      <c r="P41" s="88" t="n">
        <v>0</v>
      </c>
      <c r="Q41" s="83" t="n">
        <v>1137.95</v>
      </c>
      <c r="R41" s="91" t="n">
        <v>-229362</v>
      </c>
      <c r="S41" s="84" t="n">
        <v>-6880859.999999999</v>
      </c>
      <c r="T41" s="89" t="n">
        <v>-6880859.999999999</v>
      </c>
      <c r="U41" s="91" t="n">
        <v>-229362</v>
      </c>
      <c r="V41" s="91" t="n">
        <v>-13047.20859468741</v>
      </c>
      <c r="W41" s="75" t="n"/>
    </row>
    <row r="42">
      <c r="A42" s="142" t="inlineStr">
        <is>
          <t>01/12/2023</t>
        </is>
      </c>
      <c r="B42" s="74" t="inlineStr">
        <is>
          <t>juros_encarg_add</t>
        </is>
      </c>
      <c r="C42" s="75" t="n">
        <v>1106.17</v>
      </c>
      <c r="D42" s="75" t="n">
        <v>0</v>
      </c>
      <c r="E42" s="75" t="n">
        <v>-229362</v>
      </c>
      <c r="F42" s="77" t="n"/>
      <c r="G42" s="78" t="n">
        <v>31</v>
      </c>
      <c r="H42" s="78" t="n">
        <v>31</v>
      </c>
      <c r="I42" s="79" t="n">
        <v>-7110221.999999999</v>
      </c>
      <c r="J42" s="79" t="n">
        <v>-7110221.999999999</v>
      </c>
      <c r="K42" s="80" t="n">
        <v>-229362</v>
      </c>
      <c r="L42" s="80" t="n">
        <v>1106.17</v>
      </c>
      <c r="M42" s="81" t="n">
        <v>0.05499974578586708</v>
      </c>
      <c r="N42" s="90" t="n">
        <v>0.05317921381374813</v>
      </c>
      <c r="O42" s="82" t="inlineStr">
        <is>
          <t>juros_encarg_add</t>
        </is>
      </c>
      <c r="P42" s="88" t="n">
        <v>0</v>
      </c>
      <c r="Q42" s="83" t="n">
        <v>1106.17</v>
      </c>
      <c r="R42" s="91" t="n">
        <v>-229362</v>
      </c>
      <c r="S42" s="84" t="n">
        <v>-7110221.999999999</v>
      </c>
      <c r="T42" s="89" t="n">
        <v>-7110221.999999999</v>
      </c>
      <c r="U42" s="91" t="n">
        <v>-229362</v>
      </c>
      <c r="V42" s="91" t="n">
        <v>-12614.85169293804</v>
      </c>
      <c r="W42" s="75" t="n"/>
    </row>
    <row r="43">
      <c r="A43" s="142" t="inlineStr">
        <is>
          <t>01/01/2024</t>
        </is>
      </c>
      <c r="B43" s="74" t="inlineStr">
        <is>
          <t>juros_encarg_add</t>
        </is>
      </c>
      <c r="C43" s="75" t="n">
        <v>1148.17</v>
      </c>
      <c r="D43" s="75" t="n">
        <v>0</v>
      </c>
      <c r="E43" s="75" t="n">
        <v>-229362</v>
      </c>
      <c r="F43" s="77" t="n"/>
      <c r="G43" s="78" t="n">
        <v>31</v>
      </c>
      <c r="H43" s="78" t="n">
        <v>31</v>
      </c>
      <c r="I43" s="79" t="n">
        <v>-7110221.999999999</v>
      </c>
      <c r="J43" s="79" t="n">
        <v>-7110221.999999999</v>
      </c>
      <c r="K43" s="80" t="n">
        <v>-229362</v>
      </c>
      <c r="L43" s="80" t="n">
        <v>1148.17</v>
      </c>
      <c r="M43" s="81" t="n">
        <v>0.05499985626507953</v>
      </c>
      <c r="N43" s="90" t="n">
        <v>0.05515462202043642</v>
      </c>
      <c r="O43" s="82" t="inlineStr">
        <is>
          <t>juros_encarg_add</t>
        </is>
      </c>
      <c r="P43" s="88" t="n">
        <v>0</v>
      </c>
      <c r="Q43" s="83" t="n">
        <v>1148.17</v>
      </c>
      <c r="R43" s="91" t="n">
        <v>-229362</v>
      </c>
      <c r="S43" s="84" t="n">
        <v>-7110221.999999999</v>
      </c>
      <c r="T43" s="89" t="n">
        <v>-7110221.999999999</v>
      </c>
      <c r="U43" s="91" t="n">
        <v>-229362</v>
      </c>
      <c r="V43" s="91" t="n">
        <v>-13047.11577712199</v>
      </c>
      <c r="W43" s="75" t="n"/>
    </row>
    <row r="44">
      <c r="A44" s="142" t="inlineStr">
        <is>
          <t>01/02/2024</t>
        </is>
      </c>
      <c r="B44" s="74" t="inlineStr">
        <is>
          <t>juros_encarg_add</t>
        </is>
      </c>
      <c r="C44" s="75" t="n">
        <v>1150.25</v>
      </c>
      <c r="D44" s="75" t="n">
        <v>0</v>
      </c>
      <c r="E44" s="75" t="n">
        <v>-229362</v>
      </c>
      <c r="F44" s="77" t="n"/>
      <c r="G44" s="78" t="n">
        <v>29</v>
      </c>
      <c r="H44" s="78" t="n">
        <v>29</v>
      </c>
      <c r="I44" s="79" t="n">
        <v>-6651497.999999999</v>
      </c>
      <c r="J44" s="79" t="n">
        <v>-6651497.999999999</v>
      </c>
      <c r="K44" s="80" t="n">
        <v>-229362</v>
      </c>
      <c r="L44" s="80" t="n">
        <v>1150.25</v>
      </c>
      <c r="M44" s="81" t="n">
        <v>0.05500012958342104</v>
      </c>
      <c r="N44" s="90" t="n">
        <v>0.05890289234399804</v>
      </c>
      <c r="O44" s="82" t="inlineStr">
        <is>
          <t>juros_encarg_add</t>
        </is>
      </c>
      <c r="P44" s="88" t="n">
        <v>0</v>
      </c>
      <c r="Q44" s="83" t="n">
        <v>1150.25</v>
      </c>
      <c r="R44" s="91" t="n">
        <v>-229362</v>
      </c>
      <c r="S44" s="84" t="n">
        <v>-6651497.999999999</v>
      </c>
      <c r="T44" s="89" t="n">
        <v>-6651497.999999999</v>
      </c>
      <c r="U44" s="91" t="n">
        <v>-229362</v>
      </c>
      <c r="V44" s="91" t="n">
        <v>-13047.18067130435</v>
      </c>
      <c r="W44" s="75" t="n"/>
    </row>
    <row r="45">
      <c r="A45" s="142" t="inlineStr">
        <is>
          <t>01/03/2024</t>
        </is>
      </c>
      <c r="B45" s="74" t="inlineStr">
        <is>
          <t>juros_encarg_add</t>
        </is>
      </c>
      <c r="C45" s="75" t="n">
        <v>1080.77</v>
      </c>
      <c r="D45" s="75" t="n">
        <v>0</v>
      </c>
      <c r="E45" s="75" t="n">
        <v>-229362</v>
      </c>
      <c r="F45" s="77" t="n"/>
      <c r="G45" s="78" t="n">
        <v>31</v>
      </c>
      <c r="H45" s="78" t="n">
        <v>31</v>
      </c>
      <c r="I45" s="79" t="n">
        <v>-7110221.999999999</v>
      </c>
      <c r="J45" s="79" t="n">
        <v>-7110221.999999999</v>
      </c>
      <c r="K45" s="80" t="n">
        <v>-229362</v>
      </c>
      <c r="L45" s="80" t="n">
        <v>1080.77</v>
      </c>
      <c r="M45" s="81" t="n">
        <v>0.05499997874736029</v>
      </c>
      <c r="N45" s="90" t="n">
        <v>0.05136204057395521</v>
      </c>
      <c r="O45" s="82" t="inlineStr">
        <is>
          <t>juros_encarg_add</t>
        </is>
      </c>
      <c r="P45" s="88" t="n">
        <v>0</v>
      </c>
      <c r="Q45" s="83" t="n">
        <v>1080.77</v>
      </c>
      <c r="R45" s="91" t="n">
        <v>-229362</v>
      </c>
      <c r="S45" s="84" t="n">
        <v>-7110221.999999999</v>
      </c>
      <c r="T45" s="89" t="n">
        <v>-7110221.999999999</v>
      </c>
      <c r="U45" s="91" t="n">
        <v>-229362</v>
      </c>
      <c r="V45" s="91" t="n">
        <v>-12183.43611936423</v>
      </c>
      <c r="W45" s="75" t="n"/>
    </row>
    <row r="46">
      <c r="A46" s="142" t="inlineStr">
        <is>
          <t>01/04/2024</t>
        </is>
      </c>
      <c r="B46" s="74" t="inlineStr">
        <is>
          <t>juros_encarg_add</t>
        </is>
      </c>
      <c r="C46" s="75" t="n">
        <v>1160.39</v>
      </c>
      <c r="D46" s="75" t="n">
        <v>0</v>
      </c>
      <c r="E46" s="75" t="n">
        <v>-229362</v>
      </c>
      <c r="F46" s="77" t="n"/>
      <c r="G46" s="78" t="n">
        <v>30</v>
      </c>
      <c r="H46" s="78" t="n">
        <v>30</v>
      </c>
      <c r="I46" s="79" t="n">
        <v>-6880859.999999999</v>
      </c>
      <c r="J46" s="79" t="n">
        <v>-6880859.999999999</v>
      </c>
      <c r="K46" s="80" t="n">
        <v>-229362</v>
      </c>
      <c r="L46" s="80" t="n">
        <v>1160.39</v>
      </c>
      <c r="M46" s="81" t="n">
        <v>0.05500011052001663</v>
      </c>
      <c r="N46" s="90" t="n">
        <v>0.05688464586577391</v>
      </c>
      <c r="O46" s="82" t="inlineStr">
        <is>
          <t>juros_encarg_add</t>
        </is>
      </c>
      <c r="P46" s="88" t="n">
        <v>0</v>
      </c>
      <c r="Q46" s="83" t="n">
        <v>1160.39</v>
      </c>
      <c r="R46" s="91" t="n">
        <v>-229362</v>
      </c>
      <c r="S46" s="84" t="n">
        <v>-6880859.999999999</v>
      </c>
      <c r="T46" s="89" t="n">
        <v>-6880859.999999999</v>
      </c>
      <c r="U46" s="91" t="n">
        <v>-229362</v>
      </c>
      <c r="V46" s="91" t="n">
        <v>-13047.17614506568</v>
      </c>
      <c r="W46" s="75" t="n"/>
    </row>
    <row r="47">
      <c r="A47" s="142" t="inlineStr">
        <is>
          <t>01/05/2024</t>
        </is>
      </c>
      <c r="B47" s="74" t="inlineStr">
        <is>
          <t>juros_encarg_add</t>
        </is>
      </c>
      <c r="C47" s="75" t="n">
        <v>1127.98</v>
      </c>
      <c r="D47" s="75" t="n">
        <v>0</v>
      </c>
      <c r="E47" s="75" t="n">
        <v>-229362</v>
      </c>
      <c r="F47" s="77" t="n"/>
      <c r="G47" s="78" t="n">
        <v>14</v>
      </c>
      <c r="H47" s="78" t="n">
        <v>14</v>
      </c>
      <c r="I47" s="79" t="n">
        <v>-3211068</v>
      </c>
      <c r="J47" s="79" t="n">
        <v>-3211068</v>
      </c>
      <c r="K47" s="80" t="n">
        <v>-229362</v>
      </c>
      <c r="L47" s="80" t="n">
        <v>1127.98</v>
      </c>
      <c r="M47" s="81" t="n">
        <v>0.0550001333363781</v>
      </c>
      <c r="N47" s="90" t="n">
        <v>0.1215711173470291</v>
      </c>
      <c r="O47" s="82" t="inlineStr">
        <is>
          <t>juros_encarg_add</t>
        </is>
      </c>
      <c r="P47" s="88" t="n">
        <v>0</v>
      </c>
      <c r="Q47" s="83" t="n">
        <v>1127.98</v>
      </c>
      <c r="R47" s="91" t="n">
        <v>-229362</v>
      </c>
      <c r="S47" s="84" t="n">
        <v>-3211068</v>
      </c>
      <c r="T47" s="89" t="n">
        <v>-3211068</v>
      </c>
      <c r="U47" s="91" t="n">
        <v>-229362</v>
      </c>
      <c r="V47" s="91" t="n">
        <v>-12614.94058229835</v>
      </c>
      <c r="W47" s="75" t="n"/>
    </row>
    <row r="48">
      <c r="A48" s="142" t="inlineStr">
        <is>
          <t>15/05/2024</t>
        </is>
      </c>
      <c r="B48" s="74" t="inlineStr">
        <is>
          <t>juros_encarg_add</t>
        </is>
      </c>
      <c r="C48" s="75" t="n">
        <v>528.09</v>
      </c>
      <c r="D48" s="75" t="n">
        <v>0</v>
      </c>
      <c r="E48" s="75" t="n">
        <v>-518661.7801772091</v>
      </c>
      <c r="F48" s="77" t="n"/>
      <c r="G48" s="78" t="n">
        <v>0</v>
      </c>
      <c r="H48" s="78" t="n">
        <v>0</v>
      </c>
      <c r="I48" s="79" t="n">
        <v>0</v>
      </c>
      <c r="J48" s="79" t="n">
        <v>0</v>
      </c>
      <c r="K48" s="80" t="n">
        <v>-229362</v>
      </c>
      <c r="L48" s="80" t="n">
        <v>528.09</v>
      </c>
      <c r="M48" s="81" t="n">
        <v>0.05500043788016273</v>
      </c>
      <c r="N48" s="90" t="n">
        <v/>
      </c>
      <c r="O48" s="82" t="inlineStr">
        <is>
          <t>juros_encarg_add</t>
        </is>
      </c>
      <c r="P48" s="88" t="n">
        <v>0</v>
      </c>
      <c r="Q48" s="83" t="n">
        <v>528.09</v>
      </c>
      <c r="R48" s="91" t="n">
        <v>-229362</v>
      </c>
      <c r="S48" s="84" t="n">
        <v>0</v>
      </c>
      <c r="T48" s="89" t="n">
        <v>0</v>
      </c>
      <c r="U48" s="91" t="n">
        <v>-229362</v>
      </c>
      <c r="V48" s="91" t="n">
        <v>-5803.007278372362</v>
      </c>
      <c r="W48" s="75" t="n"/>
    </row>
    <row r="49">
      <c r="A49" s="142" t="inlineStr">
        <is>
          <t>15/05/2024</t>
        </is>
      </c>
      <c r="B49" s="74" t="inlineStr">
        <is>
          <t>trans_saldo</t>
        </is>
      </c>
      <c r="C49" s="75" t="n">
        <v>0</v>
      </c>
      <c r="D49" s="75" t="n">
        <v>258117.64</v>
      </c>
      <c r="E49" s="75" t="n">
        <v>-260544.140177209</v>
      </c>
      <c r="F49" s="77" t="n"/>
      <c r="G49" s="78" t="n">
        <v>0</v>
      </c>
      <c r="H49" s="78" t="n">
        <v>0</v>
      </c>
      <c r="I49" s="79" t="n">
        <v/>
      </c>
      <c r="J49" s="79" t="n">
        <v/>
      </c>
      <c r="K49" s="80" t="n">
        <v/>
      </c>
      <c r="L49" s="80" t="n">
        <v>0</v>
      </c>
      <c r="M49" s="81" t="n">
        <v>0</v>
      </c>
      <c r="N49" s="90" t="n">
        <v>0</v>
      </c>
      <c r="O49" s="82" t="inlineStr">
        <is>
          <t>trans_saldo</t>
        </is>
      </c>
      <c r="P49" s="88" t="n">
        <v>0</v>
      </c>
      <c r="Q49" s="83" t="n">
        <v>0</v>
      </c>
      <c r="R49" s="91" t="n">
        <v>28755.64000000004</v>
      </c>
      <c r="S49" s="84" t="n">
        <v/>
      </c>
      <c r="T49" s="89" t="n">
        <v/>
      </c>
      <c r="U49" s="91" t="n">
        <v/>
      </c>
      <c r="V49" s="91" t="n">
        <v/>
      </c>
      <c r="W49" s="75" t="n"/>
    </row>
    <row r="50">
      <c r="A50" s="142" t="inlineStr">
        <is>
          <t>15/05/2024</t>
        </is>
      </c>
      <c r="B50" s="74" t="inlineStr">
        <is>
          <t>trans_saldo</t>
        </is>
      </c>
      <c r="C50" s="75" t="n">
        <v>258117.64</v>
      </c>
      <c r="D50" s="75" t="n">
        <v>0</v>
      </c>
      <c r="E50" s="75" t="n">
        <v>-518661.7801772091</v>
      </c>
      <c r="F50" s="77" t="n"/>
      <c r="G50" s="78" t="n">
        <v>17</v>
      </c>
      <c r="H50" s="78" t="n">
        <v>17</v>
      </c>
      <c r="I50" s="79" t="n">
        <v/>
      </c>
      <c r="J50" s="79" t="n">
        <v/>
      </c>
      <c r="K50" s="80" t="n">
        <v/>
      </c>
      <c r="L50" s="80" t="n">
        <v>0</v>
      </c>
      <c r="M50" s="81" t="n">
        <v>0</v>
      </c>
      <c r="N50" s="90" t="n">
        <v>0</v>
      </c>
      <c r="O50" s="82" t="inlineStr">
        <is>
          <t>trans_saldo</t>
        </is>
      </c>
      <c r="P50" s="88" t="n">
        <v>0</v>
      </c>
      <c r="Q50" s="83" t="n">
        <v>0</v>
      </c>
      <c r="R50" s="91" t="n">
        <v>-229362</v>
      </c>
      <c r="S50" s="84" t="n">
        <v/>
      </c>
      <c r="T50" s="89" t="n">
        <v/>
      </c>
      <c r="U50" s="91" t="n">
        <v/>
      </c>
      <c r="V50" s="91" t="n">
        <v/>
      </c>
      <c r="W50" s="75" t="n"/>
    </row>
    <row r="51">
      <c r="A51" s="142" t="inlineStr">
        <is>
          <t>01/06/2024</t>
        </is>
      </c>
      <c r="B51" s="74" t="inlineStr">
        <is>
          <t>juros_encarg_add</t>
        </is>
      </c>
      <c r="C51" s="75" t="n">
        <v>642.7</v>
      </c>
      <c r="D51" s="75" t="n">
        <v>0</v>
      </c>
      <c r="E51" s="75" t="n">
        <v>-518661.7801772091</v>
      </c>
      <c r="F51" s="77" t="n"/>
      <c r="G51" s="78" t="n">
        <v>30</v>
      </c>
      <c r="H51" s="78" t="n">
        <v>30</v>
      </c>
      <c r="I51" s="79" t="n">
        <v/>
      </c>
      <c r="J51" s="79" t="n">
        <v/>
      </c>
      <c r="K51" s="80" t="n">
        <v/>
      </c>
      <c r="L51" s="80" t="n">
        <v>642.7</v>
      </c>
      <c r="M51" s="81" t="n">
        <v>0.05499974830631382</v>
      </c>
      <c r="N51" s="90" t="n">
        <v>0.0308045694835184</v>
      </c>
      <c r="O51" s="82" t="inlineStr">
        <is>
          <t>juros_encarg_add</t>
        </is>
      </c>
      <c r="P51" s="88" t="n">
        <v>0</v>
      </c>
      <c r="Q51" s="83" t="n">
        <v>642.7</v>
      </c>
      <c r="R51" s="91" t="n">
        <v>-229362</v>
      </c>
      <c r="S51" s="84" t="n">
        <v/>
      </c>
      <c r="T51" s="89" t="n">
        <v/>
      </c>
      <c r="U51" s="91" t="n">
        <v/>
      </c>
      <c r="V51" s="91" t="n">
        <v/>
      </c>
      <c r="W51" s="75" t="n"/>
    </row>
    <row r="52">
      <c r="A52" s="142" t="inlineStr">
        <is>
          <t>01/07/2024</t>
        </is>
      </c>
      <c r="B52" s="74" t="inlineStr">
        <is>
          <t>juros_encarg_add</t>
        </is>
      </c>
      <c r="C52" s="75" t="n">
        <v>1138.09</v>
      </c>
      <c r="D52" s="75" t="n">
        <v>0</v>
      </c>
      <c r="E52" s="75" t="n">
        <v>-518661.7801772091</v>
      </c>
      <c r="F52" s="77" t="n"/>
      <c r="G52" s="78" t="n">
        <v>31</v>
      </c>
      <c r="H52" s="78" t="n">
        <v>31</v>
      </c>
      <c r="I52" s="79" t="n">
        <v/>
      </c>
      <c r="J52" s="79" t="n">
        <v/>
      </c>
      <c r="K52" s="80" t="n">
        <v/>
      </c>
      <c r="L52" s="80" t="n">
        <v>1138.09</v>
      </c>
      <c r="M52" s="81" t="n">
        <v>0.05500010628051322</v>
      </c>
      <c r="N52" s="90" t="n">
        <v>0.05317956207752217</v>
      </c>
      <c r="O52" s="82" t="inlineStr">
        <is>
          <t>juros_encarg_add</t>
        </is>
      </c>
      <c r="P52" s="88" t="n">
        <v>0</v>
      </c>
      <c r="Q52" s="83" t="n">
        <v>1138.09</v>
      </c>
      <c r="R52" s="91" t="n">
        <v>-229362</v>
      </c>
      <c r="S52" s="84" t="n">
        <v/>
      </c>
      <c r="T52" s="89" t="n">
        <v/>
      </c>
      <c r="U52" s="91" t="n">
        <v/>
      </c>
      <c r="V52" s="91" t="n">
        <v/>
      </c>
      <c r="W52" s="75" t="n"/>
    </row>
    <row r="53">
      <c r="A53" s="142" t="inlineStr">
        <is>
          <t>01/08/2024</t>
        </is>
      </c>
      <c r="B53" s="74" t="inlineStr">
        <is>
          <t>juros_encarg_add</t>
        </is>
      </c>
      <c r="C53" s="75" t="n">
        <v>1181.28</v>
      </c>
      <c r="D53" s="75" t="n">
        <v>0</v>
      </c>
      <c r="E53" s="75" t="n">
        <v>-518661.7801772091</v>
      </c>
      <c r="F53" s="77" t="n"/>
      <c r="G53" s="78" t="n">
        <v>31</v>
      </c>
      <c r="H53" s="78" t="n">
        <v>31</v>
      </c>
      <c r="I53" s="79" t="n">
        <v/>
      </c>
      <c r="J53" s="79" t="n">
        <v/>
      </c>
      <c r="K53" s="80" t="n">
        <v/>
      </c>
      <c r="L53" s="80" t="n">
        <v>1181.28</v>
      </c>
      <c r="M53" s="81" t="n">
        <v>0.05499985613443137</v>
      </c>
      <c r="N53" s="90" t="n">
        <v>0.05499985613443137</v>
      </c>
      <c r="O53" s="82" t="inlineStr">
        <is>
          <t>juros_encarg_add</t>
        </is>
      </c>
      <c r="P53" s="88" t="n">
        <v>0</v>
      </c>
      <c r="Q53" s="83" t="n">
        <v>1181.28</v>
      </c>
      <c r="R53" s="91" t="n">
        <v>-229362</v>
      </c>
      <c r="S53" s="84" t="n">
        <v/>
      </c>
      <c r="T53" s="89" t="n">
        <v/>
      </c>
      <c r="U53" s="91" t="n">
        <v/>
      </c>
      <c r="V53" s="91" t="n">
        <v/>
      </c>
      <c r="W53" s="75" t="n"/>
    </row>
    <row r="54">
      <c r="A54" s="142" t="inlineStr">
        <is>
          <t>01/09/2024</t>
        </is>
      </c>
      <c r="B54" s="74" t="inlineStr">
        <is>
          <t>juros_encarg_add</t>
        </is>
      </c>
      <c r="C54" s="75" t="n">
        <v>1186.65</v>
      </c>
      <c r="D54" s="75" t="n">
        <v>0</v>
      </c>
      <c r="E54" s="75" t="n">
        <v>-518661.7801772091</v>
      </c>
      <c r="F54" s="77" t="n"/>
      <c r="G54" s="78" t="n">
        <v>5</v>
      </c>
      <c r="H54" s="78" t="n">
        <v>5</v>
      </c>
      <c r="I54" s="79" t="n">
        <v/>
      </c>
      <c r="J54" s="79" t="n">
        <v/>
      </c>
      <c r="K54" s="80" t="n">
        <v/>
      </c>
      <c r="L54" s="80" t="n">
        <v>1186.65</v>
      </c>
      <c r="M54" s="81" t="n">
        <v>0.05499989855320742</v>
      </c>
      <c r="N54" s="90" t="n">
        <v>0.3936861712618533</v>
      </c>
      <c r="O54" s="82" t="inlineStr">
        <is>
          <t>juros_encarg_add</t>
        </is>
      </c>
      <c r="P54" s="88" t="n">
        <v>0</v>
      </c>
      <c r="Q54" s="83" t="n">
        <v>1186.65</v>
      </c>
      <c r="R54" s="91" t="n">
        <v>-229362</v>
      </c>
      <c r="S54" s="84" t="n">
        <v/>
      </c>
      <c r="T54" s="89" t="n">
        <v/>
      </c>
      <c r="U54" s="91" t="n">
        <v/>
      </c>
      <c r="V54" s="91" t="n">
        <v/>
      </c>
      <c r="W54" s="75" t="n"/>
    </row>
    <row r="55">
      <c r="A55" s="142" t="inlineStr">
        <is>
          <t>06/09/2024</t>
        </is>
      </c>
      <c r="B55" s="74" t="inlineStr">
        <is>
          <t>juros_encarg_add</t>
        </is>
      </c>
      <c r="C55" s="75" t="n">
        <v>191.9</v>
      </c>
      <c r="D55" s="75" t="n">
        <v>0</v>
      </c>
      <c r="E55" s="75" t="n">
        <v>-518661.7801772091</v>
      </c>
      <c r="F55" s="77" t="n"/>
      <c r="G55" s="78" t="n">
        <v>0</v>
      </c>
      <c r="H55" s="78" t="n">
        <v>0</v>
      </c>
      <c r="I55" s="79" t="n">
        <v/>
      </c>
      <c r="J55" s="79" t="n">
        <v/>
      </c>
      <c r="K55" s="80" t="n">
        <v/>
      </c>
      <c r="L55" s="80" t="n">
        <v>191.9</v>
      </c>
      <c r="M55" s="81" t="n">
        <v>0.05500000537164995</v>
      </c>
      <c r="N55" s="90" t="n">
        <v/>
      </c>
      <c r="O55" s="82" t="inlineStr">
        <is>
          <t>juros_encarg_add</t>
        </is>
      </c>
      <c r="P55" s="88" t="n">
        <v>0</v>
      </c>
      <c r="Q55" s="83" t="n">
        <v>191.9</v>
      </c>
      <c r="R55" s="91" t="n">
        <v>-229362</v>
      </c>
      <c r="S55" s="84" t="n">
        <v/>
      </c>
      <c r="T55" s="89" t="n">
        <v/>
      </c>
      <c r="U55" s="91" t="n">
        <v/>
      </c>
      <c r="V55" s="91" t="n">
        <v/>
      </c>
      <c r="W55" s="75" t="n"/>
    </row>
    <row r="56">
      <c r="A56" s="142" t="inlineStr">
        <is>
          <t>06/09/2024</t>
        </is>
      </c>
      <c r="B56" s="74" t="inlineStr">
        <is>
          <t>juros_mora</t>
        </is>
      </c>
      <c r="C56" s="75" t="n">
        <v>805.36</v>
      </c>
      <c r="D56" s="75" t="n">
        <v>0</v>
      </c>
      <c r="E56" s="75" t="n">
        <v>-519467.140177209</v>
      </c>
      <c r="F56" s="77" t="n"/>
      <c r="G56" s="78" t="n">
        <v>0</v>
      </c>
      <c r="H56" s="78" t="n">
        <v>0</v>
      </c>
      <c r="I56" s="79" t="n">
        <v/>
      </c>
      <c r="J56" s="79" t="n">
        <v/>
      </c>
      <c r="K56" s="80" t="n">
        <v/>
      </c>
      <c r="L56" s="80" t="n">
        <v>805.36</v>
      </c>
      <c r="M56" s="81" t="n">
        <v>0</v>
      </c>
      <c r="N56" s="90" t="n">
        <v>0.01003980994247722</v>
      </c>
      <c r="O56" s="82" t="inlineStr">
        <is>
          <t>juros_mora</t>
        </is>
      </c>
      <c r="P56" s="88" t="n">
        <v>0</v>
      </c>
      <c r="Q56" s="83" t="n">
        <v>0</v>
      </c>
      <c r="R56" s="91" t="n">
        <v>-230167.36</v>
      </c>
      <c r="S56" s="84" t="n">
        <v/>
      </c>
      <c r="T56" s="89" t="n">
        <v/>
      </c>
      <c r="U56" s="91" t="n">
        <v/>
      </c>
      <c r="V56" s="91" t="n">
        <v/>
      </c>
      <c r="W56" s="75" t="n"/>
    </row>
    <row r="57">
      <c r="A57" s="142" t="inlineStr">
        <is>
          <t>06/09/2024</t>
        </is>
      </c>
      <c r="B57" s="74" t="inlineStr">
        <is>
          <t>multa</t>
        </is>
      </c>
      <c r="C57" s="75" t="n">
        <v>5265.27</v>
      </c>
      <c r="D57" s="75" t="n">
        <v>0</v>
      </c>
      <c r="E57" s="75" t="n">
        <v>-524732.4101772091</v>
      </c>
      <c r="F57" s="77" t="n"/>
      <c r="G57" s="78" t="n">
        <v>0</v>
      </c>
      <c r="H57" s="78" t="n">
        <v>0</v>
      </c>
      <c r="I57" s="79" t="n">
        <v/>
      </c>
      <c r="J57" s="79" t="n">
        <v/>
      </c>
      <c r="K57" s="80" t="n">
        <v/>
      </c>
      <c r="L57" s="80" t="n">
        <v>5265.27</v>
      </c>
      <c r="M57" s="81" t="n">
        <v>0.01999999088366254</v>
      </c>
      <c r="N57" s="90" t="n">
        <v>0.01999999088366254</v>
      </c>
      <c r="O57" s="82" t="inlineStr">
        <is>
          <t>multa</t>
        </is>
      </c>
      <c r="P57" s="88" t="n">
        <v>0</v>
      </c>
      <c r="Q57" s="83" t="n">
        <v>0</v>
      </c>
      <c r="R57" s="91" t="n">
        <v>-235432.6299999999</v>
      </c>
      <c r="S57" s="84" t="n">
        <v/>
      </c>
      <c r="T57" s="89" t="n">
        <v/>
      </c>
      <c r="U57" s="91" t="n">
        <v/>
      </c>
      <c r="V57" s="91" t="n">
        <v/>
      </c>
      <c r="W57" s="75" t="n"/>
    </row>
    <row r="58">
      <c r="A58" s="144" t="n"/>
      <c r="B58" s="96" t="inlineStr">
        <is>
          <t>Saldo final conforme extratos</t>
        </is>
      </c>
      <c r="C58" s="97" t="n"/>
      <c r="D58" s="98" t="n"/>
      <c r="E58" s="75">
        <f>E19-C20+D20</f>
        <v/>
      </c>
      <c r="F58" s="99" t="n"/>
      <c r="G58" s="100" t="n"/>
      <c r="H58" s="65" t="n"/>
      <c r="I58" s="101" t="n"/>
      <c r="J58" s="101" t="n"/>
      <c r="K58" s="102" t="n"/>
      <c r="L58" s="101" t="n"/>
      <c r="M58" s="103" t="n"/>
      <c r="N58" s="65" t="n"/>
      <c r="O58" s="104" t="inlineStr">
        <is>
          <t>Saldo final recalculado</t>
        </is>
      </c>
      <c r="P58" s="102" t="n"/>
      <c r="Q58" s="105" t="n"/>
      <c r="R58" s="91">
        <f>R19-P20+Q20-C20+D20</f>
        <v/>
      </c>
      <c r="S58" s="106" t="n"/>
      <c r="T58" s="107" t="n"/>
      <c r="U58" s="107" t="n"/>
      <c r="V58" s="42" t="n"/>
      <c r="W58" s="42" t="n"/>
      <c r="X58" s="85">
        <f>#REF!-#REF!</f>
        <v/>
      </c>
    </row>
    <row r="59">
      <c r="A59" s="144" t="n"/>
      <c r="B59" s="30" t="n"/>
      <c r="C59" s="31" t="n"/>
      <c r="D59" s="32" t="n"/>
      <c r="E59" s="31" t="n"/>
      <c r="F59" s="31" t="n"/>
      <c r="G59" s="33" t="n"/>
      <c r="H59" s="33" t="n"/>
      <c r="I59" s="51" t="n"/>
      <c r="J59" s="51" t="n"/>
      <c r="K59" s="108" t="n"/>
      <c r="L59" s="51" t="n"/>
      <c r="M59" s="52" t="n"/>
      <c r="N59" s="33" t="n"/>
      <c r="O59" s="36" t="n"/>
      <c r="P59" s="31" t="n"/>
      <c r="Q59" s="31" t="n"/>
      <c r="R59" s="107" t="n"/>
      <c r="S59" s="107" t="n"/>
      <c r="T59" s="107" t="n"/>
      <c r="U59" s="107" t="n"/>
      <c r="V59" s="31" t="n"/>
      <c r="W59" s="31" t="n"/>
      <c r="X59" s="85">
        <f>#REF!-#REF!</f>
        <v/>
      </c>
    </row>
    <row r="60" hidden="1" ht="13.5" customHeight="1">
      <c r="A60" s="144" t="n"/>
      <c r="B60" s="109" t="inlineStr">
        <is>
          <t>Diferença entre saldos</t>
        </is>
      </c>
      <c r="C60" s="110" t="n"/>
      <c r="D60" s="111" t="n"/>
      <c r="E60" s="110" t="n"/>
      <c r="F60" s="112" t="n"/>
      <c r="G60" s="65" t="n"/>
      <c r="H60" s="65" t="n"/>
      <c r="I60" s="101" t="n"/>
      <c r="J60" s="101" t="n"/>
      <c r="K60" s="102" t="n"/>
      <c r="L60" s="101" t="n"/>
      <c r="M60" s="103" t="n"/>
      <c r="N60" s="65" t="n"/>
      <c r="O60" s="113" t="n"/>
      <c r="P60" s="145">
        <f>R20-E20</f>
        <v/>
      </c>
      <c r="Q60" s="31" t="n"/>
      <c r="R60" s="31" t="n"/>
      <c r="S60" s="31" t="n"/>
      <c r="T60" s="31" t="n"/>
      <c r="U60" s="31" t="n"/>
      <c r="V60" s="31" t="n"/>
      <c r="W60" s="32" t="n"/>
      <c r="X60" s="85">
        <f>#REF!-#REF!</f>
        <v/>
      </c>
    </row>
    <row r="61" hidden="1" ht="13.5" customHeight="1">
      <c r="A61" s="144" t="n"/>
      <c r="B61" s="30" t="n"/>
      <c r="C61" s="31" t="n"/>
      <c r="D61" s="32" t="n"/>
      <c r="E61" s="31" t="n"/>
      <c r="G61" s="33" t="n"/>
      <c r="H61" s="33" t="n"/>
      <c r="I61" s="51" t="n"/>
      <c r="J61" s="51" t="n"/>
      <c r="K61" s="108" t="n"/>
      <c r="L61" s="51" t="n"/>
      <c r="M61" s="52" t="n"/>
      <c r="N61" s="33" t="n"/>
      <c r="O61" s="36" t="n"/>
      <c r="P61" s="32" t="n"/>
      <c r="Q61" s="31" t="n"/>
      <c r="R61" s="31" t="n"/>
      <c r="S61" s="31" t="n"/>
      <c r="T61" s="31" t="n"/>
      <c r="U61" s="31" t="n"/>
      <c r="V61" s="31" t="n"/>
      <c r="W61" s="32" t="n"/>
      <c r="X61" s="85">
        <f>#REF!-#REF!</f>
        <v/>
      </c>
    </row>
    <row r="62">
      <c r="A62" s="144" t="n"/>
      <c r="B62" s="30" t="n"/>
      <c r="C62" s="31" t="n"/>
      <c r="D62" s="32" t="n"/>
      <c r="E62" s="31" t="n"/>
      <c r="G62" s="33" t="n"/>
      <c r="H62" s="33" t="n"/>
      <c r="I62" s="51" t="n"/>
      <c r="J62" s="51" t="n"/>
      <c r="K62" s="108" t="n"/>
      <c r="L62" s="51" t="n"/>
      <c r="M62" s="52" t="n"/>
      <c r="N62" s="33" t="n"/>
      <c r="O62" s="82" t="inlineStr">
        <is>
          <t>Valor apurado (incontroverso):</t>
        </is>
      </c>
      <c r="P62" s="76">
        <f>R20</f>
        <v/>
      </c>
      <c r="Q62" s="31" t="n"/>
      <c r="R62" s="31" t="n"/>
      <c r="S62" s="31" t="n"/>
      <c r="T62" s="31" t="n"/>
      <c r="U62" s="31" t="n"/>
      <c r="V62" s="31" t="n"/>
      <c r="W62" s="32" t="n"/>
      <c r="X62" s="85">
        <f>#REF!-#REF!</f>
        <v/>
      </c>
      <c r="Y62" s="18" t="n"/>
    </row>
    <row r="63">
      <c r="A63" s="144" t="n"/>
      <c r="B63" s="30" t="n"/>
      <c r="C63" s="31" t="n"/>
      <c r="D63" s="32" t="n"/>
      <c r="E63" s="31" t="n"/>
      <c r="G63" s="33" t="n"/>
      <c r="H63" s="33" t="n"/>
      <c r="I63" s="51" t="n"/>
      <c r="J63" s="51" t="n"/>
      <c r="K63" s="108" t="n"/>
      <c r="L63" s="51" t="n"/>
      <c r="M63" s="52" t="n"/>
      <c r="N63" s="33" t="n"/>
      <c r="O63" s="82">
        <f>"Valor "&amp;AA3&amp;" (controverso):"</f>
        <v/>
      </c>
      <c r="P63" s="76">
        <f>E20</f>
        <v/>
      </c>
      <c r="Q63" s="31" t="n"/>
      <c r="R63" s="31" t="n"/>
      <c r="S63" s="31" t="n"/>
      <c r="T63" s="31" t="n"/>
      <c r="U63" s="31" t="n"/>
      <c r="V63" s="31" t="n"/>
      <c r="W63" s="32" t="n"/>
      <c r="X63" s="85">
        <f>#REF!-#REF!</f>
        <v/>
      </c>
      <c r="Y63" s="18" t="n"/>
    </row>
    <row r="64">
      <c r="A64" s="144" t="n"/>
      <c r="B64" s="30" t="n"/>
      <c r="C64" s="31" t="n"/>
      <c r="D64" s="32" t="n"/>
      <c r="E64" s="31" t="n"/>
      <c r="G64" s="33" t="n"/>
      <c r="H64" s="33" t="n"/>
      <c r="I64" s="51" t="n"/>
      <c r="J64" s="51" t="n"/>
      <c r="K64" s="108" t="n"/>
      <c r="L64" s="51" t="n"/>
      <c r="M64" s="52" t="n"/>
      <c r="N64" s="33" t="n"/>
      <c r="O64" s="115">
        <f>"Excesso de "&amp;AB3&amp;":"</f>
        <v/>
      </c>
      <c r="P64" s="146">
        <f>ABS(P24-P25)</f>
        <v/>
      </c>
      <c r="Q64" s="31" t="n"/>
      <c r="R64" s="31" t="n"/>
      <c r="S64" s="31" t="n"/>
      <c r="T64" s="31" t="n"/>
      <c r="U64" s="31" t="n"/>
      <c r="V64" s="31" t="n"/>
      <c r="W64" s="32" t="n"/>
      <c r="X64" s="85">
        <f>#REF!-#REF!</f>
        <v/>
      </c>
      <c r="Y64" s="18" t="n"/>
    </row>
    <row r="65">
      <c r="A65" s="144" t="n"/>
      <c r="B65" s="30" t="n"/>
      <c r="C65" s="31" t="n"/>
      <c r="D65" s="32" t="n"/>
      <c r="E65" s="31" t="n"/>
      <c r="G65" s="33" t="n"/>
      <c r="H65" s="33" t="n"/>
      <c r="I65" s="51" t="n"/>
      <c r="J65" s="51" t="n"/>
      <c r="K65" s="108" t="n"/>
      <c r="L65" s="51" t="n"/>
      <c r="M65" s="52" t="n"/>
      <c r="N65" s="33" t="n"/>
      <c r="O65" s="46" t="inlineStr">
        <is>
          <t>Proveito econômico pretendido.</t>
        </is>
      </c>
      <c r="P65" s="32" t="n"/>
      <c r="Q65" s="31" t="n"/>
      <c r="R65" s="31" t="n"/>
      <c r="S65" s="31" t="n"/>
      <c r="T65" s="31" t="n"/>
      <c r="U65" s="31" t="n"/>
      <c r="V65" s="31" t="n"/>
      <c r="W65" s="32" t="n"/>
      <c r="X65" s="85">
        <f>#REF!-#REF!</f>
        <v/>
      </c>
      <c r="Y65" s="18" t="n"/>
    </row>
    <row r="66">
      <c r="X66" s="85">
        <f>#REF!-#REF!</f>
        <v/>
      </c>
      <c r="Y66" s="18" t="n"/>
    </row>
    <row r="67">
      <c r="B67" s="147" t="inlineStr">
        <is>
          <t>Valor conf. instituição financeira:</t>
        </is>
      </c>
      <c r="C67" s="118" t="n"/>
      <c r="D67" s="118" t="n"/>
      <c r="E67" s="119">
        <f>E20</f>
        <v/>
      </c>
      <c r="O67" s="148" t="inlineStr">
        <is>
          <t xml:space="preserve">Valor apurado: </t>
        </is>
      </c>
      <c r="P67" s="148" t="n"/>
      <c r="Q67" s="148" t="n"/>
      <c r="R67" s="118">
        <f>R20</f>
        <v/>
      </c>
      <c r="X67" s="85">
        <f>#REF!-#REF!</f>
        <v/>
      </c>
      <c r="Y67" s="18" t="n"/>
    </row>
    <row r="68">
      <c r="B68" s="147" t="inlineStr">
        <is>
          <t xml:space="preserve">Fator de correção: </t>
        </is>
      </c>
      <c r="C68" s="118" t="n"/>
      <c r="D68" s="118" t="n"/>
      <c r="E68" s="149" t="n"/>
      <c r="O68" s="147" t="inlineStr">
        <is>
          <t xml:space="preserve">Fator de correção: </t>
        </is>
      </c>
      <c r="P68" s="148" t="n"/>
      <c r="Q68" s="148" t="n"/>
      <c r="R68" s="148">
        <f>G30</f>
        <v/>
      </c>
      <c r="X68" s="85">
        <f>#REF!-#REF!</f>
        <v/>
      </c>
      <c r="Y68" s="18" t="n"/>
    </row>
    <row r="69">
      <c r="B69" s="147" t="inlineStr">
        <is>
          <t xml:space="preserve">Correção monetária: </t>
        </is>
      </c>
      <c r="C69" s="118" t="n"/>
      <c r="D69" s="118" t="n"/>
      <c r="E69" s="119">
        <f>E32-E29</f>
        <v/>
      </c>
      <c r="O69" s="147" t="inlineStr">
        <is>
          <t xml:space="preserve">Correção monetária: </t>
        </is>
      </c>
      <c r="P69" s="148" t="n"/>
      <c r="Q69" s="148" t="n"/>
      <c r="R69" s="118">
        <f>R32-R29</f>
        <v/>
      </c>
      <c r="X69" s="85">
        <f>#REF!-#REF!</f>
        <v/>
      </c>
      <c r="Y69" s="18" t="n"/>
    </row>
    <row r="70">
      <c r="B70" s="147" t="inlineStr">
        <is>
          <t>Valor atualizado (controverso):</t>
        </is>
      </c>
      <c r="C70" s="118" t="n"/>
      <c r="D70" s="118" t="n"/>
      <c r="E70" s="119">
        <f>E29*E30</f>
        <v/>
      </c>
      <c r="O70" s="147" t="inlineStr">
        <is>
          <t>Valor atualizado (incontroverso):</t>
        </is>
      </c>
      <c r="P70" s="148" t="n"/>
      <c r="Q70" s="148" t="n"/>
      <c r="R70" s="118">
        <f>R29*R30</f>
        <v/>
      </c>
      <c r="X70" s="85">
        <f>#REF!-#REF!</f>
        <v/>
      </c>
      <c r="Y70" s="18" t="n"/>
    </row>
    <row r="71">
      <c r="O71" s="150" t="n"/>
      <c r="P71" s="150" t="n"/>
      <c r="Q71" s="150" t="n"/>
      <c r="R71" s="124" t="n"/>
      <c r="X71" s="85">
        <f>#REF!-#REF!</f>
        <v/>
      </c>
      <c r="Y71" s="18" t="n"/>
    </row>
    <row r="72">
      <c r="O72" s="151" t="inlineStr">
        <is>
          <t xml:space="preserve">Excesso apurado: </t>
        </is>
      </c>
      <c r="P72" s="151" t="n"/>
      <c r="Q72" s="151" t="n"/>
      <c r="R72" s="152">
        <f>ABS(E32-R32)</f>
        <v/>
      </c>
      <c r="X72" s="85">
        <f>#REF!-#REF!</f>
        <v/>
      </c>
      <c r="Y72" s="18" t="n"/>
    </row>
    <row r="73">
      <c r="O73" s="153" t="inlineStr">
        <is>
          <t>Proveito econômico pretendido.</t>
        </is>
      </c>
      <c r="P73" s="148" t="n"/>
      <c r="Q73" s="148" t="n"/>
      <c r="R73" s="118" t="n"/>
      <c r="X73" s="85">
        <f>#REF!-#REF!</f>
        <v/>
      </c>
      <c r="Y73" s="18" t="n"/>
    </row>
    <row r="74">
      <c r="X74" s="85">
        <f>#REF!-#REF!</f>
        <v/>
      </c>
      <c r="Y74" s="18" t="n"/>
    </row>
    <row r="75">
      <c r="O75" s="129">
        <f>"Excesso utilizado na operação nº xxxx - Anexo "</f>
        <v/>
      </c>
      <c r="X75" s="85">
        <f>#REF!-#REF!</f>
        <v/>
      </c>
      <c r="Y75" s="18" t="n"/>
    </row>
    <row r="76">
      <c r="X76" s="85">
        <f>#REF!-#REF!</f>
        <v/>
      </c>
      <c r="Y76" s="18" t="n"/>
    </row>
    <row r="77">
      <c r="X77" s="85">
        <f>#REF!-#REF!</f>
        <v/>
      </c>
      <c r="Y77" s="18" t="n"/>
    </row>
    <row r="78">
      <c r="X78" s="85">
        <f>#REF!-#REF!</f>
        <v/>
      </c>
      <c r="Y78" s="18" t="n"/>
    </row>
    <row r="79">
      <c r="X79" s="85">
        <f>#REF!-#REF!</f>
        <v/>
      </c>
      <c r="Y79" s="18" t="n"/>
    </row>
    <row r="80">
      <c r="X80" s="85">
        <f>#REF!-#REF!</f>
        <v/>
      </c>
      <c r="Y80" s="18" t="n"/>
    </row>
    <row r="81">
      <c r="X81" s="85">
        <f>#REF!-#REF!</f>
        <v/>
      </c>
      <c r="Y81" s="18" t="n"/>
    </row>
    <row r="82">
      <c r="X82" s="85">
        <f>#REF!-#REF!</f>
        <v/>
      </c>
      <c r="Y82" s="18" t="n"/>
    </row>
    <row r="83">
      <c r="X83" s="85">
        <f>#REF!-#REF!</f>
        <v/>
      </c>
      <c r="Y83" s="18" t="n"/>
    </row>
    <row r="84">
      <c r="X84" s="85">
        <f>#REF!-#REF!</f>
        <v/>
      </c>
      <c r="Y84" s="18" t="n"/>
    </row>
    <row r="85">
      <c r="X85" s="85">
        <f>#REF!-#REF!</f>
        <v/>
      </c>
      <c r="Y85" s="18" t="n"/>
    </row>
    <row r="86">
      <c r="X86" s="85">
        <f>#REF!-#REF!</f>
        <v/>
      </c>
      <c r="Y86" s="18" t="n"/>
    </row>
    <row r="87">
      <c r="X87" s="85">
        <f>#REF!-#REF!</f>
        <v/>
      </c>
      <c r="Y87" s="18" t="n"/>
    </row>
    <row r="88">
      <c r="X88" s="85">
        <f>#REF!-#REF!</f>
        <v/>
      </c>
      <c r="Y88" s="18" t="n"/>
    </row>
    <row r="89">
      <c r="X89" s="85">
        <f>V13-Q13</f>
        <v/>
      </c>
      <c r="Y89" s="18" t="n"/>
    </row>
    <row r="90">
      <c r="X90" s="85">
        <f>V14-Q14</f>
        <v/>
      </c>
      <c r="Y90" s="18" t="n"/>
    </row>
    <row r="91">
      <c r="X91" s="85">
        <f>V15-Q15</f>
        <v/>
      </c>
      <c r="Y91" s="18" t="n"/>
    </row>
    <row r="92">
      <c r="X92" s="85">
        <f>V16-Q16</f>
        <v/>
      </c>
      <c r="Y92" s="18" t="n"/>
    </row>
    <row r="93">
      <c r="X93" s="85">
        <f>V17-Q17</f>
        <v/>
      </c>
      <c r="Y93" s="18" t="n"/>
    </row>
    <row r="94">
      <c r="X94" s="85">
        <f>V18-Q18</f>
        <v/>
      </c>
      <c r="Y94" s="18" t="n"/>
    </row>
    <row r="95">
      <c r="X95" s="85">
        <f>V19-Q19</f>
        <v/>
      </c>
      <c r="Y95" s="18" t="n"/>
    </row>
    <row r="96">
      <c r="X96" s="27">
        <f>SUM(X13:X57)</f>
        <v/>
      </c>
    </row>
    <row r="97"/>
    <row r="98"/>
    <row r="99"/>
    <row r="100"/>
    <row r="101"/>
    <row r="102"/>
    <row r="103"/>
    <row r="104"/>
    <row r="105"/>
    <row r="106">
      <c r="Y106" s="122" t="inlineStr">
        <is>
          <t>RELAÇÃO DE ANEXOS</t>
        </is>
      </c>
      <c r="Z106" s="122" t="n"/>
    </row>
    <row r="107">
      <c r="Y107" s="122" t="n"/>
      <c r="Z107" s="122" t="n"/>
    </row>
    <row r="108">
      <c r="Y108" s="122" t="inlineStr">
        <is>
          <t>ANEXO 1</t>
        </is>
      </c>
      <c r="Z108" s="122" t="inlineStr">
        <is>
          <t>Certidão CORECON/PR</t>
        </is>
      </c>
    </row>
    <row r="109">
      <c r="Y109" s="122" t="inlineStr">
        <is>
          <t>ANEXO 2</t>
        </is>
      </c>
      <c r="Z109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2026-03-16T19:46:12Z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